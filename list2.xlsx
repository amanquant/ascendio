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39a5067324f7cf/Documents/"/>
    </mc:Choice>
  </mc:AlternateContent>
  <xr:revisionPtr revIDLastSave="7" documentId="8_{F5610D0E-6507-4156-B2BF-5BF6A855B69C}" xr6:coauthVersionLast="47" xr6:coauthVersionMax="47" xr10:uidLastSave="{EC9F2CDB-610E-49E9-85DD-843E340DAAC0}"/>
  <bookViews>
    <workbookView xWindow="-108" yWindow="-108" windowWidth="23256" windowHeight="12456" xr2:uid="{6EE5307B-6DD4-45AF-BBA2-80CB5F98AB28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Q201" i="1"/>
  <c r="P201" i="1"/>
  <c r="O201" i="1"/>
  <c r="N201" i="1"/>
  <c r="L201" i="1"/>
  <c r="K201" i="1"/>
  <c r="J201" i="1"/>
  <c r="H201" i="1"/>
  <c r="G201" i="1"/>
  <c r="F201" i="1"/>
  <c r="E201" i="1"/>
  <c r="D201" i="1"/>
  <c r="Q200" i="1"/>
  <c r="P200" i="1"/>
  <c r="O200" i="1"/>
  <c r="N200" i="1"/>
  <c r="L200" i="1"/>
  <c r="K200" i="1"/>
  <c r="J200" i="1"/>
  <c r="H200" i="1"/>
  <c r="G200" i="1"/>
  <c r="F200" i="1"/>
  <c r="E200" i="1"/>
  <c r="D200" i="1"/>
  <c r="Q199" i="1"/>
  <c r="P199" i="1"/>
  <c r="O199" i="1"/>
  <c r="N199" i="1"/>
  <c r="L199" i="1"/>
  <c r="K199" i="1"/>
  <c r="J199" i="1"/>
  <c r="H199" i="1"/>
  <c r="G199" i="1"/>
  <c r="F199" i="1"/>
  <c r="E199" i="1"/>
  <c r="D199" i="1"/>
  <c r="Q198" i="1"/>
  <c r="P198" i="1"/>
  <c r="O198" i="1"/>
  <c r="N198" i="1"/>
  <c r="L198" i="1"/>
  <c r="K198" i="1"/>
  <c r="J198" i="1"/>
  <c r="H198" i="1"/>
  <c r="G198" i="1"/>
  <c r="F198" i="1"/>
  <c r="E198" i="1"/>
  <c r="D198" i="1"/>
  <c r="Q197" i="1"/>
  <c r="P197" i="1"/>
  <c r="O197" i="1"/>
  <c r="N197" i="1"/>
  <c r="L197" i="1"/>
  <c r="K197" i="1"/>
  <c r="J197" i="1"/>
  <c r="H197" i="1"/>
  <c r="G197" i="1"/>
  <c r="F197" i="1"/>
  <c r="E197" i="1"/>
  <c r="D197" i="1"/>
  <c r="Q196" i="1"/>
  <c r="P196" i="1"/>
  <c r="O196" i="1"/>
  <c r="N196" i="1"/>
  <c r="L196" i="1"/>
  <c r="K196" i="1"/>
  <c r="J196" i="1"/>
  <c r="H196" i="1"/>
  <c r="G196" i="1"/>
  <c r="F196" i="1"/>
  <c r="E196" i="1"/>
  <c r="D196" i="1"/>
  <c r="Q195" i="1"/>
  <c r="P195" i="1"/>
  <c r="O195" i="1"/>
  <c r="N195" i="1"/>
  <c r="L195" i="1"/>
  <c r="K195" i="1"/>
  <c r="J195" i="1"/>
  <c r="H195" i="1"/>
  <c r="G195" i="1"/>
  <c r="F195" i="1"/>
  <c r="E195" i="1"/>
  <c r="D195" i="1"/>
  <c r="Q194" i="1"/>
  <c r="P194" i="1"/>
  <c r="O194" i="1"/>
  <c r="N194" i="1"/>
  <c r="L194" i="1"/>
  <c r="K194" i="1"/>
  <c r="J194" i="1"/>
  <c r="H194" i="1"/>
  <c r="G194" i="1"/>
  <c r="F194" i="1"/>
  <c r="E194" i="1"/>
  <c r="D194" i="1"/>
  <c r="Q193" i="1"/>
  <c r="P193" i="1"/>
  <c r="O193" i="1"/>
  <c r="N193" i="1"/>
  <c r="L193" i="1"/>
  <c r="K193" i="1"/>
  <c r="J193" i="1"/>
  <c r="H193" i="1"/>
  <c r="G193" i="1"/>
  <c r="F193" i="1"/>
  <c r="E193" i="1"/>
  <c r="D193" i="1"/>
  <c r="Q192" i="1"/>
  <c r="P192" i="1"/>
  <c r="O192" i="1"/>
  <c r="N192" i="1"/>
  <c r="L192" i="1"/>
  <c r="K192" i="1"/>
  <c r="J192" i="1"/>
  <c r="H192" i="1"/>
  <c r="G192" i="1"/>
  <c r="F192" i="1"/>
  <c r="E192" i="1"/>
  <c r="D192" i="1"/>
  <c r="Q191" i="1"/>
  <c r="P191" i="1"/>
  <c r="O191" i="1"/>
  <c r="N191" i="1"/>
  <c r="L191" i="1"/>
  <c r="K191" i="1"/>
  <c r="J191" i="1"/>
  <c r="H191" i="1"/>
  <c r="G191" i="1"/>
  <c r="F191" i="1"/>
  <c r="E191" i="1"/>
  <c r="D191" i="1"/>
  <c r="Q190" i="1"/>
  <c r="P190" i="1"/>
  <c r="O190" i="1"/>
  <c r="N190" i="1"/>
  <c r="L190" i="1"/>
  <c r="K190" i="1"/>
  <c r="J190" i="1"/>
  <c r="H190" i="1"/>
  <c r="G190" i="1"/>
  <c r="F190" i="1"/>
  <c r="E190" i="1"/>
  <c r="D190" i="1"/>
  <c r="Q189" i="1"/>
  <c r="P189" i="1"/>
  <c r="O189" i="1"/>
  <c r="N189" i="1"/>
  <c r="L189" i="1"/>
  <c r="K189" i="1"/>
  <c r="J189" i="1"/>
  <c r="H189" i="1"/>
  <c r="G189" i="1"/>
  <c r="F189" i="1"/>
  <c r="E189" i="1"/>
  <c r="D189" i="1"/>
  <c r="Q188" i="1"/>
  <c r="P188" i="1"/>
  <c r="O188" i="1"/>
  <c r="N188" i="1"/>
  <c r="L188" i="1"/>
  <c r="K188" i="1"/>
  <c r="J188" i="1"/>
  <c r="H188" i="1"/>
  <c r="G188" i="1"/>
  <c r="F188" i="1"/>
  <c r="E188" i="1"/>
  <c r="D188" i="1"/>
  <c r="Q187" i="1"/>
  <c r="P187" i="1"/>
  <c r="O187" i="1"/>
  <c r="N187" i="1"/>
  <c r="L187" i="1"/>
  <c r="K187" i="1"/>
  <c r="J187" i="1"/>
  <c r="H187" i="1"/>
  <c r="G187" i="1"/>
  <c r="F187" i="1"/>
  <c r="E187" i="1"/>
  <c r="D187" i="1"/>
  <c r="Q186" i="1"/>
  <c r="P186" i="1"/>
  <c r="O186" i="1"/>
  <c r="N186" i="1"/>
  <c r="L186" i="1"/>
  <c r="K186" i="1"/>
  <c r="J186" i="1"/>
  <c r="H186" i="1"/>
  <c r="G186" i="1"/>
  <c r="F186" i="1"/>
  <c r="E186" i="1"/>
  <c r="D186" i="1"/>
  <c r="Q185" i="1"/>
  <c r="P185" i="1"/>
  <c r="O185" i="1"/>
  <c r="N185" i="1"/>
  <c r="L185" i="1"/>
  <c r="K185" i="1"/>
  <c r="J185" i="1"/>
  <c r="H185" i="1"/>
  <c r="G185" i="1"/>
  <c r="F185" i="1"/>
  <c r="E185" i="1"/>
  <c r="D185" i="1"/>
  <c r="Q184" i="1"/>
  <c r="P184" i="1"/>
  <c r="O184" i="1"/>
  <c r="N184" i="1"/>
  <c r="L184" i="1"/>
  <c r="K184" i="1"/>
  <c r="J184" i="1"/>
  <c r="H184" i="1"/>
  <c r="G184" i="1"/>
  <c r="F184" i="1"/>
  <c r="E184" i="1"/>
  <c r="D184" i="1"/>
  <c r="Q183" i="1"/>
  <c r="P183" i="1"/>
  <c r="O183" i="1"/>
  <c r="N183" i="1"/>
  <c r="L183" i="1"/>
  <c r="K183" i="1"/>
  <c r="J183" i="1"/>
  <c r="H183" i="1"/>
  <c r="G183" i="1"/>
  <c r="F183" i="1"/>
  <c r="E183" i="1"/>
  <c r="D183" i="1"/>
  <c r="Q182" i="1"/>
  <c r="P182" i="1"/>
  <c r="O182" i="1"/>
  <c r="N182" i="1"/>
  <c r="L182" i="1"/>
  <c r="K182" i="1"/>
  <c r="J182" i="1"/>
  <c r="H182" i="1"/>
  <c r="G182" i="1"/>
  <c r="F182" i="1"/>
  <c r="E182" i="1"/>
  <c r="D182" i="1"/>
  <c r="Q181" i="1"/>
  <c r="P181" i="1"/>
  <c r="O181" i="1"/>
  <c r="N181" i="1"/>
  <c r="L181" i="1"/>
  <c r="K181" i="1"/>
  <c r="J181" i="1"/>
  <c r="H181" i="1"/>
  <c r="G181" i="1"/>
  <c r="F181" i="1"/>
  <c r="E181" i="1"/>
  <c r="D181" i="1"/>
  <c r="Q180" i="1"/>
  <c r="P180" i="1"/>
  <c r="O180" i="1"/>
  <c r="N180" i="1"/>
  <c r="L180" i="1"/>
  <c r="K180" i="1"/>
  <c r="J180" i="1"/>
  <c r="H180" i="1"/>
  <c r="G180" i="1"/>
  <c r="F180" i="1"/>
  <c r="E180" i="1"/>
  <c r="D180" i="1"/>
  <c r="Q179" i="1"/>
  <c r="P179" i="1"/>
  <c r="O179" i="1"/>
  <c r="N179" i="1"/>
  <c r="L179" i="1"/>
  <c r="K179" i="1"/>
  <c r="J179" i="1"/>
  <c r="H179" i="1"/>
  <c r="G179" i="1"/>
  <c r="F179" i="1"/>
  <c r="E179" i="1"/>
  <c r="D179" i="1"/>
  <c r="Q178" i="1"/>
  <c r="P178" i="1"/>
  <c r="O178" i="1"/>
  <c r="N178" i="1"/>
  <c r="L178" i="1"/>
  <c r="K178" i="1"/>
  <c r="J178" i="1"/>
  <c r="H178" i="1"/>
  <c r="G178" i="1"/>
  <c r="F178" i="1"/>
  <c r="E178" i="1"/>
  <c r="D178" i="1"/>
  <c r="Q177" i="1"/>
  <c r="P177" i="1"/>
  <c r="O177" i="1"/>
  <c r="N177" i="1"/>
  <c r="L177" i="1"/>
  <c r="K177" i="1"/>
  <c r="J177" i="1"/>
  <c r="H177" i="1"/>
  <c r="G177" i="1"/>
  <c r="F177" i="1"/>
  <c r="E177" i="1"/>
  <c r="D177" i="1"/>
  <c r="Q176" i="1"/>
  <c r="P176" i="1"/>
  <c r="O176" i="1"/>
  <c r="N176" i="1"/>
  <c r="L176" i="1"/>
  <c r="K176" i="1"/>
  <c r="J176" i="1"/>
  <c r="H176" i="1"/>
  <c r="G176" i="1"/>
  <c r="F176" i="1"/>
  <c r="E176" i="1"/>
  <c r="D176" i="1"/>
  <c r="Q175" i="1"/>
  <c r="P175" i="1"/>
  <c r="O175" i="1"/>
  <c r="N175" i="1"/>
  <c r="L175" i="1"/>
  <c r="K175" i="1"/>
  <c r="J175" i="1"/>
  <c r="H175" i="1"/>
  <c r="G175" i="1"/>
  <c r="F175" i="1"/>
  <c r="E175" i="1"/>
  <c r="D175" i="1"/>
  <c r="Q174" i="1"/>
  <c r="P174" i="1"/>
  <c r="O174" i="1"/>
  <c r="N174" i="1"/>
  <c r="L174" i="1"/>
  <c r="K174" i="1"/>
  <c r="J174" i="1"/>
  <c r="H174" i="1"/>
  <c r="G174" i="1"/>
  <c r="F174" i="1"/>
  <c r="E174" i="1"/>
  <c r="D174" i="1"/>
  <c r="Q173" i="1"/>
  <c r="P173" i="1"/>
  <c r="O173" i="1"/>
  <c r="N173" i="1"/>
  <c r="L173" i="1"/>
  <c r="K173" i="1"/>
  <c r="J173" i="1"/>
  <c r="H173" i="1"/>
  <c r="G173" i="1"/>
  <c r="F173" i="1"/>
  <c r="E173" i="1"/>
  <c r="D173" i="1"/>
  <c r="Q172" i="1"/>
  <c r="P172" i="1"/>
  <c r="O172" i="1"/>
  <c r="N172" i="1"/>
  <c r="L172" i="1"/>
  <c r="K172" i="1"/>
  <c r="J172" i="1"/>
  <c r="H172" i="1"/>
  <c r="G172" i="1"/>
  <c r="F172" i="1"/>
  <c r="E172" i="1"/>
  <c r="D172" i="1"/>
  <c r="Q171" i="1"/>
  <c r="P171" i="1"/>
  <c r="O171" i="1"/>
  <c r="N171" i="1"/>
  <c r="L171" i="1"/>
  <c r="K171" i="1"/>
  <c r="J171" i="1"/>
  <c r="H171" i="1"/>
  <c r="G171" i="1"/>
  <c r="F171" i="1"/>
  <c r="E171" i="1"/>
  <c r="D171" i="1"/>
  <c r="Q170" i="1"/>
  <c r="P170" i="1"/>
  <c r="O170" i="1"/>
  <c r="N170" i="1"/>
  <c r="L170" i="1"/>
  <c r="K170" i="1"/>
  <c r="J170" i="1"/>
  <c r="H170" i="1"/>
  <c r="G170" i="1"/>
  <c r="F170" i="1"/>
  <c r="E170" i="1"/>
  <c r="D170" i="1"/>
  <c r="Q169" i="1"/>
  <c r="P169" i="1"/>
  <c r="O169" i="1"/>
  <c r="N169" i="1"/>
  <c r="L169" i="1"/>
  <c r="K169" i="1"/>
  <c r="J169" i="1"/>
  <c r="H169" i="1"/>
  <c r="G169" i="1"/>
  <c r="F169" i="1"/>
  <c r="E169" i="1"/>
  <c r="D169" i="1"/>
  <c r="Q168" i="1"/>
  <c r="P168" i="1"/>
  <c r="O168" i="1"/>
  <c r="N168" i="1"/>
  <c r="L168" i="1"/>
  <c r="K168" i="1"/>
  <c r="J168" i="1"/>
  <c r="H168" i="1"/>
  <c r="G168" i="1"/>
  <c r="F168" i="1"/>
  <c r="E168" i="1"/>
  <c r="D168" i="1"/>
  <c r="Q167" i="1"/>
  <c r="P167" i="1"/>
  <c r="O167" i="1"/>
  <c r="N167" i="1"/>
  <c r="L167" i="1"/>
  <c r="K167" i="1"/>
  <c r="J167" i="1"/>
  <c r="H167" i="1"/>
  <c r="G167" i="1"/>
  <c r="F167" i="1"/>
  <c r="E167" i="1"/>
  <c r="D167" i="1"/>
  <c r="Q166" i="1"/>
  <c r="P166" i="1"/>
  <c r="O166" i="1"/>
  <c r="N166" i="1"/>
  <c r="L166" i="1"/>
  <c r="K166" i="1"/>
  <c r="J166" i="1"/>
  <c r="H166" i="1"/>
  <c r="G166" i="1"/>
  <c r="F166" i="1"/>
  <c r="E166" i="1"/>
  <c r="D166" i="1"/>
  <c r="Q165" i="1"/>
  <c r="P165" i="1"/>
  <c r="O165" i="1"/>
  <c r="N165" i="1"/>
  <c r="L165" i="1"/>
  <c r="K165" i="1"/>
  <c r="J165" i="1"/>
  <c r="H165" i="1"/>
  <c r="G165" i="1"/>
  <c r="F165" i="1"/>
  <c r="E165" i="1"/>
  <c r="D165" i="1"/>
  <c r="Q164" i="1"/>
  <c r="P164" i="1"/>
  <c r="O164" i="1"/>
  <c r="N164" i="1"/>
  <c r="L164" i="1"/>
  <c r="K164" i="1"/>
  <c r="J164" i="1"/>
  <c r="H164" i="1"/>
  <c r="G164" i="1"/>
  <c r="F164" i="1"/>
  <c r="E164" i="1"/>
  <c r="D164" i="1"/>
  <c r="Q163" i="1"/>
  <c r="P163" i="1"/>
  <c r="O163" i="1"/>
  <c r="N163" i="1"/>
  <c r="L163" i="1"/>
  <c r="K163" i="1"/>
  <c r="J163" i="1"/>
  <c r="H163" i="1"/>
  <c r="G163" i="1"/>
  <c r="F163" i="1"/>
  <c r="E163" i="1"/>
  <c r="D163" i="1"/>
  <c r="Q162" i="1"/>
  <c r="P162" i="1"/>
  <c r="O162" i="1"/>
  <c r="N162" i="1"/>
  <c r="L162" i="1"/>
  <c r="K162" i="1"/>
  <c r="J162" i="1"/>
  <c r="H162" i="1"/>
  <c r="G162" i="1"/>
  <c r="F162" i="1"/>
  <c r="E162" i="1"/>
  <c r="D162" i="1"/>
  <c r="Q161" i="1"/>
  <c r="P161" i="1"/>
  <c r="O161" i="1"/>
  <c r="N161" i="1"/>
  <c r="L161" i="1"/>
  <c r="K161" i="1"/>
  <c r="J161" i="1"/>
  <c r="H161" i="1"/>
  <c r="G161" i="1"/>
  <c r="F161" i="1"/>
  <c r="E161" i="1"/>
  <c r="D161" i="1"/>
  <c r="Q160" i="1"/>
  <c r="P160" i="1"/>
  <c r="O160" i="1"/>
  <c r="N160" i="1"/>
  <c r="L160" i="1"/>
  <c r="K160" i="1"/>
  <c r="J160" i="1"/>
  <c r="H160" i="1"/>
  <c r="G160" i="1"/>
  <c r="F160" i="1"/>
  <c r="E160" i="1"/>
  <c r="D160" i="1"/>
  <c r="Q159" i="1"/>
  <c r="P159" i="1"/>
  <c r="O159" i="1"/>
  <c r="N159" i="1"/>
  <c r="L159" i="1"/>
  <c r="K159" i="1"/>
  <c r="J159" i="1"/>
  <c r="H159" i="1"/>
  <c r="G159" i="1"/>
  <c r="F159" i="1"/>
  <c r="E159" i="1"/>
  <c r="D159" i="1"/>
  <c r="Q158" i="1"/>
  <c r="P158" i="1"/>
  <c r="O158" i="1"/>
  <c r="N158" i="1"/>
  <c r="L158" i="1"/>
  <c r="K158" i="1"/>
  <c r="J158" i="1"/>
  <c r="H158" i="1"/>
  <c r="G158" i="1"/>
  <c r="F158" i="1"/>
  <c r="E158" i="1"/>
  <c r="D158" i="1"/>
  <c r="Q157" i="1"/>
  <c r="P157" i="1"/>
  <c r="O157" i="1"/>
  <c r="N157" i="1"/>
  <c r="L157" i="1"/>
  <c r="K157" i="1"/>
  <c r="J157" i="1"/>
  <c r="H157" i="1"/>
  <c r="G157" i="1"/>
  <c r="F157" i="1"/>
  <c r="E157" i="1"/>
  <c r="D157" i="1"/>
  <c r="Q156" i="1"/>
  <c r="P156" i="1"/>
  <c r="O156" i="1"/>
  <c r="N156" i="1"/>
  <c r="L156" i="1"/>
  <c r="K156" i="1"/>
  <c r="J156" i="1"/>
  <c r="H156" i="1"/>
  <c r="G156" i="1"/>
  <c r="F156" i="1"/>
  <c r="E156" i="1"/>
  <c r="D156" i="1"/>
  <c r="Q155" i="1"/>
  <c r="P155" i="1"/>
  <c r="O155" i="1"/>
  <c r="N155" i="1"/>
  <c r="L155" i="1"/>
  <c r="K155" i="1"/>
  <c r="J155" i="1"/>
  <c r="H155" i="1"/>
  <c r="G155" i="1"/>
  <c r="F155" i="1"/>
  <c r="E155" i="1"/>
  <c r="D155" i="1"/>
  <c r="Q154" i="1"/>
  <c r="P154" i="1"/>
  <c r="O154" i="1"/>
  <c r="N154" i="1"/>
  <c r="L154" i="1"/>
  <c r="K154" i="1"/>
  <c r="J154" i="1"/>
  <c r="H154" i="1"/>
  <c r="G154" i="1"/>
  <c r="F154" i="1"/>
  <c r="E154" i="1"/>
  <c r="D154" i="1"/>
  <c r="Q153" i="1"/>
  <c r="P153" i="1"/>
  <c r="O153" i="1"/>
  <c r="N153" i="1"/>
  <c r="L153" i="1"/>
  <c r="K153" i="1"/>
  <c r="J153" i="1"/>
  <c r="H153" i="1"/>
  <c r="G153" i="1"/>
  <c r="F153" i="1"/>
  <c r="E153" i="1"/>
  <c r="D153" i="1"/>
  <c r="Q152" i="1"/>
  <c r="P152" i="1"/>
  <c r="O152" i="1"/>
  <c r="N152" i="1"/>
  <c r="L152" i="1"/>
  <c r="K152" i="1"/>
  <c r="J152" i="1"/>
  <c r="H152" i="1"/>
  <c r="G152" i="1"/>
  <c r="F152" i="1"/>
  <c r="E152" i="1"/>
  <c r="D152" i="1"/>
  <c r="Q151" i="1"/>
  <c r="P151" i="1"/>
  <c r="O151" i="1"/>
  <c r="N151" i="1"/>
  <c r="L151" i="1"/>
  <c r="K151" i="1"/>
  <c r="J151" i="1"/>
  <c r="H151" i="1"/>
  <c r="G151" i="1"/>
  <c r="F151" i="1"/>
  <c r="E151" i="1"/>
  <c r="D151" i="1"/>
  <c r="Q150" i="1"/>
  <c r="P150" i="1"/>
  <c r="O150" i="1"/>
  <c r="N150" i="1"/>
  <c r="L150" i="1"/>
  <c r="K150" i="1"/>
  <c r="J150" i="1"/>
  <c r="H150" i="1"/>
  <c r="G150" i="1"/>
  <c r="F150" i="1"/>
  <c r="E150" i="1"/>
  <c r="D150" i="1"/>
  <c r="Q149" i="1"/>
  <c r="P149" i="1"/>
  <c r="O149" i="1"/>
  <c r="N149" i="1"/>
  <c r="L149" i="1"/>
  <c r="K149" i="1"/>
  <c r="J149" i="1"/>
  <c r="H149" i="1"/>
  <c r="G149" i="1"/>
  <c r="F149" i="1"/>
  <c r="E149" i="1"/>
  <c r="D149" i="1"/>
  <c r="Q148" i="1"/>
  <c r="P148" i="1"/>
  <c r="O148" i="1"/>
  <c r="N148" i="1"/>
  <c r="L148" i="1"/>
  <c r="K148" i="1"/>
  <c r="J148" i="1"/>
  <c r="H148" i="1"/>
  <c r="G148" i="1"/>
  <c r="F148" i="1"/>
  <c r="E148" i="1"/>
  <c r="D148" i="1"/>
  <c r="Q147" i="1"/>
  <c r="P147" i="1"/>
  <c r="O147" i="1"/>
  <c r="N147" i="1"/>
  <c r="L147" i="1"/>
  <c r="K147" i="1"/>
  <c r="J147" i="1"/>
  <c r="H147" i="1"/>
  <c r="G147" i="1"/>
  <c r="F147" i="1"/>
  <c r="E147" i="1"/>
  <c r="D147" i="1"/>
  <c r="Q146" i="1"/>
  <c r="P146" i="1"/>
  <c r="O146" i="1"/>
  <c r="N146" i="1"/>
  <c r="L146" i="1"/>
  <c r="K146" i="1"/>
  <c r="J146" i="1"/>
  <c r="H146" i="1"/>
  <c r="G146" i="1"/>
  <c r="F146" i="1"/>
  <c r="E146" i="1"/>
  <c r="D146" i="1"/>
  <c r="Q145" i="1"/>
  <c r="P145" i="1"/>
  <c r="O145" i="1"/>
  <c r="N145" i="1"/>
  <c r="L145" i="1"/>
  <c r="K145" i="1"/>
  <c r="J145" i="1"/>
  <c r="H145" i="1"/>
  <c r="G145" i="1"/>
  <c r="F145" i="1"/>
  <c r="E145" i="1"/>
  <c r="D145" i="1"/>
  <c r="Q144" i="1"/>
  <c r="P144" i="1"/>
  <c r="O144" i="1"/>
  <c r="N144" i="1"/>
  <c r="L144" i="1"/>
  <c r="K144" i="1"/>
  <c r="J144" i="1"/>
  <c r="H144" i="1"/>
  <c r="G144" i="1"/>
  <c r="F144" i="1"/>
  <c r="E144" i="1"/>
  <c r="D144" i="1"/>
  <c r="Q143" i="1"/>
  <c r="P143" i="1"/>
  <c r="O143" i="1"/>
  <c r="N143" i="1"/>
  <c r="L143" i="1"/>
  <c r="K143" i="1"/>
  <c r="J143" i="1"/>
  <c r="H143" i="1"/>
  <c r="G143" i="1"/>
  <c r="F143" i="1"/>
  <c r="E143" i="1"/>
  <c r="D143" i="1"/>
  <c r="Q142" i="1"/>
  <c r="P142" i="1"/>
  <c r="O142" i="1"/>
  <c r="N142" i="1"/>
  <c r="L142" i="1"/>
  <c r="K142" i="1"/>
  <c r="J142" i="1"/>
  <c r="H142" i="1"/>
  <c r="G142" i="1"/>
  <c r="F142" i="1"/>
  <c r="E142" i="1"/>
  <c r="D142" i="1"/>
  <c r="Q141" i="1"/>
  <c r="P141" i="1"/>
  <c r="O141" i="1"/>
  <c r="N141" i="1"/>
  <c r="L141" i="1"/>
  <c r="K141" i="1"/>
  <c r="J141" i="1"/>
  <c r="H141" i="1"/>
  <c r="G141" i="1"/>
  <c r="F141" i="1"/>
  <c r="E141" i="1"/>
  <c r="D141" i="1"/>
  <c r="Q140" i="1"/>
  <c r="P140" i="1"/>
  <c r="O140" i="1"/>
  <c r="N140" i="1"/>
  <c r="L140" i="1"/>
  <c r="K140" i="1"/>
  <c r="J140" i="1"/>
  <c r="H140" i="1"/>
  <c r="G140" i="1"/>
  <c r="F140" i="1"/>
  <c r="E140" i="1"/>
  <c r="D140" i="1"/>
  <c r="Q139" i="1"/>
  <c r="P139" i="1"/>
  <c r="O139" i="1"/>
  <c r="N139" i="1"/>
  <c r="L139" i="1"/>
  <c r="K139" i="1"/>
  <c r="J139" i="1"/>
  <c r="H139" i="1"/>
  <c r="G139" i="1"/>
  <c r="F139" i="1"/>
  <c r="E139" i="1"/>
  <c r="D139" i="1"/>
  <c r="Q138" i="1"/>
  <c r="P138" i="1"/>
  <c r="O138" i="1"/>
  <c r="N138" i="1"/>
  <c r="L138" i="1"/>
  <c r="K138" i="1"/>
  <c r="J138" i="1"/>
  <c r="H138" i="1"/>
  <c r="G138" i="1"/>
  <c r="F138" i="1"/>
  <c r="E138" i="1"/>
  <c r="D138" i="1"/>
  <c r="Q137" i="1"/>
  <c r="P137" i="1"/>
  <c r="O137" i="1"/>
  <c r="N137" i="1"/>
  <c r="L137" i="1"/>
  <c r="K137" i="1"/>
  <c r="J137" i="1"/>
  <c r="H137" i="1"/>
  <c r="G137" i="1"/>
  <c r="F137" i="1"/>
  <c r="E137" i="1"/>
  <c r="D137" i="1"/>
  <c r="Q136" i="1"/>
  <c r="P136" i="1"/>
  <c r="O136" i="1"/>
  <c r="N136" i="1"/>
  <c r="L136" i="1"/>
  <c r="K136" i="1"/>
  <c r="J136" i="1"/>
  <c r="H136" i="1"/>
  <c r="G136" i="1"/>
  <c r="F136" i="1"/>
  <c r="E136" i="1"/>
  <c r="D136" i="1"/>
  <c r="Q135" i="1"/>
  <c r="P135" i="1"/>
  <c r="O135" i="1"/>
  <c r="N135" i="1"/>
  <c r="L135" i="1"/>
  <c r="K135" i="1"/>
  <c r="J135" i="1"/>
  <c r="H135" i="1"/>
  <c r="G135" i="1"/>
  <c r="F135" i="1"/>
  <c r="E135" i="1"/>
  <c r="D135" i="1"/>
  <c r="Q134" i="1"/>
  <c r="P134" i="1"/>
  <c r="O134" i="1"/>
  <c r="N134" i="1"/>
  <c r="L134" i="1"/>
  <c r="K134" i="1"/>
  <c r="J134" i="1"/>
  <c r="H134" i="1"/>
  <c r="G134" i="1"/>
  <c r="F134" i="1"/>
  <c r="E134" i="1"/>
  <c r="D134" i="1"/>
  <c r="Q133" i="1"/>
  <c r="P133" i="1"/>
  <c r="O133" i="1"/>
  <c r="N133" i="1"/>
  <c r="L133" i="1"/>
  <c r="K133" i="1"/>
  <c r="J133" i="1"/>
  <c r="H133" i="1"/>
  <c r="G133" i="1"/>
  <c r="F133" i="1"/>
  <c r="E133" i="1"/>
  <c r="D133" i="1"/>
  <c r="Q132" i="1"/>
  <c r="P132" i="1"/>
  <c r="O132" i="1"/>
  <c r="N132" i="1"/>
  <c r="L132" i="1"/>
  <c r="K132" i="1"/>
  <c r="J132" i="1"/>
  <c r="H132" i="1"/>
  <c r="G132" i="1"/>
  <c r="F132" i="1"/>
  <c r="E132" i="1"/>
  <c r="D132" i="1"/>
  <c r="Q131" i="1"/>
  <c r="P131" i="1"/>
  <c r="O131" i="1"/>
  <c r="N131" i="1"/>
  <c r="L131" i="1"/>
  <c r="K131" i="1"/>
  <c r="J131" i="1"/>
  <c r="H131" i="1"/>
  <c r="G131" i="1"/>
  <c r="F131" i="1"/>
  <c r="E131" i="1"/>
  <c r="D131" i="1"/>
  <c r="Q130" i="1"/>
  <c r="P130" i="1"/>
  <c r="O130" i="1"/>
  <c r="N130" i="1"/>
  <c r="L130" i="1"/>
  <c r="K130" i="1"/>
  <c r="J130" i="1"/>
  <c r="H130" i="1"/>
  <c r="G130" i="1"/>
  <c r="F130" i="1"/>
  <c r="E130" i="1"/>
  <c r="D130" i="1"/>
  <c r="Q129" i="1"/>
  <c r="P129" i="1"/>
  <c r="O129" i="1"/>
  <c r="N129" i="1"/>
  <c r="L129" i="1"/>
  <c r="K129" i="1"/>
  <c r="J129" i="1"/>
  <c r="H129" i="1"/>
  <c r="G129" i="1"/>
  <c r="F129" i="1"/>
  <c r="E129" i="1"/>
  <c r="D129" i="1"/>
  <c r="Q128" i="1"/>
  <c r="P128" i="1"/>
  <c r="O128" i="1"/>
  <c r="N128" i="1"/>
  <c r="L128" i="1"/>
  <c r="K128" i="1"/>
  <c r="J128" i="1"/>
  <c r="H128" i="1"/>
  <c r="G128" i="1"/>
  <c r="F128" i="1"/>
  <c r="E128" i="1"/>
  <c r="D128" i="1"/>
  <c r="Q127" i="1"/>
  <c r="P127" i="1"/>
  <c r="O127" i="1"/>
  <c r="N127" i="1"/>
  <c r="L127" i="1"/>
  <c r="K127" i="1"/>
  <c r="J127" i="1"/>
  <c r="H127" i="1"/>
  <c r="G127" i="1"/>
  <c r="F127" i="1"/>
  <c r="E127" i="1"/>
  <c r="D127" i="1"/>
  <c r="Q126" i="1"/>
  <c r="P126" i="1"/>
  <c r="O126" i="1"/>
  <c r="N126" i="1"/>
  <c r="L126" i="1"/>
  <c r="K126" i="1"/>
  <c r="J126" i="1"/>
  <c r="H126" i="1"/>
  <c r="G126" i="1"/>
  <c r="F126" i="1"/>
  <c r="E126" i="1"/>
  <c r="D126" i="1"/>
  <c r="Q125" i="1"/>
  <c r="P125" i="1"/>
  <c r="O125" i="1"/>
  <c r="N125" i="1"/>
  <c r="L125" i="1"/>
  <c r="K125" i="1"/>
  <c r="J125" i="1"/>
  <c r="H125" i="1"/>
  <c r="G125" i="1"/>
  <c r="F125" i="1"/>
  <c r="E125" i="1"/>
  <c r="D125" i="1"/>
  <c r="Q124" i="1"/>
  <c r="P124" i="1"/>
  <c r="O124" i="1"/>
  <c r="N124" i="1"/>
  <c r="L124" i="1"/>
  <c r="K124" i="1"/>
  <c r="J124" i="1"/>
  <c r="H124" i="1"/>
  <c r="G124" i="1"/>
  <c r="F124" i="1"/>
  <c r="E124" i="1"/>
  <c r="D124" i="1"/>
  <c r="Q123" i="1"/>
  <c r="P123" i="1"/>
  <c r="O123" i="1"/>
  <c r="N123" i="1"/>
  <c r="L123" i="1"/>
  <c r="K123" i="1"/>
  <c r="J123" i="1"/>
  <c r="H123" i="1"/>
  <c r="G123" i="1"/>
  <c r="F123" i="1"/>
  <c r="E123" i="1"/>
  <c r="D123" i="1"/>
  <c r="Q122" i="1"/>
  <c r="P122" i="1"/>
  <c r="O122" i="1"/>
  <c r="N122" i="1"/>
  <c r="L122" i="1"/>
  <c r="K122" i="1"/>
  <c r="J122" i="1"/>
  <c r="H122" i="1"/>
  <c r="G122" i="1"/>
  <c r="F122" i="1"/>
  <c r="E122" i="1"/>
  <c r="D122" i="1"/>
  <c r="Q121" i="1"/>
  <c r="P121" i="1"/>
  <c r="O121" i="1"/>
  <c r="N121" i="1"/>
  <c r="L121" i="1"/>
  <c r="K121" i="1"/>
  <c r="J121" i="1"/>
  <c r="H121" i="1"/>
  <c r="G121" i="1"/>
  <c r="F121" i="1"/>
  <c r="E121" i="1"/>
  <c r="D121" i="1"/>
  <c r="Q120" i="1"/>
  <c r="P120" i="1"/>
  <c r="O120" i="1"/>
  <c r="N120" i="1"/>
  <c r="L120" i="1"/>
  <c r="K120" i="1"/>
  <c r="J120" i="1"/>
  <c r="H120" i="1"/>
  <c r="G120" i="1"/>
  <c r="F120" i="1"/>
  <c r="E120" i="1"/>
  <c r="D120" i="1"/>
  <c r="Q119" i="1"/>
  <c r="P119" i="1"/>
  <c r="O119" i="1"/>
  <c r="N119" i="1"/>
  <c r="L119" i="1"/>
  <c r="K119" i="1"/>
  <c r="J119" i="1"/>
  <c r="H119" i="1"/>
  <c r="G119" i="1"/>
  <c r="F119" i="1"/>
  <c r="E119" i="1"/>
  <c r="D119" i="1"/>
  <c r="Q118" i="1"/>
  <c r="P118" i="1"/>
  <c r="O118" i="1"/>
  <c r="N118" i="1"/>
  <c r="L118" i="1"/>
  <c r="K118" i="1"/>
  <c r="J118" i="1"/>
  <c r="H118" i="1"/>
  <c r="G118" i="1"/>
  <c r="F118" i="1"/>
  <c r="E118" i="1"/>
  <c r="D118" i="1"/>
  <c r="Q117" i="1"/>
  <c r="P117" i="1"/>
  <c r="O117" i="1"/>
  <c r="N117" i="1"/>
  <c r="L117" i="1"/>
  <c r="K117" i="1"/>
  <c r="J117" i="1"/>
  <c r="H117" i="1"/>
  <c r="G117" i="1"/>
  <c r="F117" i="1"/>
  <c r="E117" i="1"/>
  <c r="D117" i="1"/>
  <c r="Q116" i="1"/>
  <c r="P116" i="1"/>
  <c r="O116" i="1"/>
  <c r="N116" i="1"/>
  <c r="L116" i="1"/>
  <c r="K116" i="1"/>
  <c r="J116" i="1"/>
  <c r="H116" i="1"/>
  <c r="G116" i="1"/>
  <c r="F116" i="1"/>
  <c r="E116" i="1"/>
  <c r="D116" i="1"/>
  <c r="Q115" i="1"/>
  <c r="P115" i="1"/>
  <c r="O115" i="1"/>
  <c r="N115" i="1"/>
  <c r="L115" i="1"/>
  <c r="K115" i="1"/>
  <c r="J115" i="1"/>
  <c r="H115" i="1"/>
  <c r="G115" i="1"/>
  <c r="F115" i="1"/>
  <c r="E115" i="1"/>
  <c r="D115" i="1"/>
  <c r="Q114" i="1"/>
  <c r="P114" i="1"/>
  <c r="O114" i="1"/>
  <c r="N114" i="1"/>
  <c r="L114" i="1"/>
  <c r="K114" i="1"/>
  <c r="J114" i="1"/>
  <c r="H114" i="1"/>
  <c r="G114" i="1"/>
  <c r="F114" i="1"/>
  <c r="E114" i="1"/>
  <c r="D114" i="1"/>
  <c r="Q113" i="1"/>
  <c r="P113" i="1"/>
  <c r="O113" i="1"/>
  <c r="N113" i="1"/>
  <c r="L113" i="1"/>
  <c r="K113" i="1"/>
  <c r="J113" i="1"/>
  <c r="H113" i="1"/>
  <c r="G113" i="1"/>
  <c r="F113" i="1"/>
  <c r="E113" i="1"/>
  <c r="D113" i="1"/>
  <c r="Q112" i="1"/>
  <c r="P112" i="1"/>
  <c r="O112" i="1"/>
  <c r="N112" i="1"/>
  <c r="L112" i="1"/>
  <c r="K112" i="1"/>
  <c r="J112" i="1"/>
  <c r="H112" i="1"/>
  <c r="G112" i="1"/>
  <c r="F112" i="1"/>
  <c r="E112" i="1"/>
  <c r="D112" i="1"/>
  <c r="Q111" i="1"/>
  <c r="P111" i="1"/>
  <c r="O111" i="1"/>
  <c r="N111" i="1"/>
  <c r="L111" i="1"/>
  <c r="K111" i="1"/>
  <c r="J111" i="1"/>
  <c r="H111" i="1"/>
  <c r="G111" i="1"/>
  <c r="F111" i="1"/>
  <c r="E111" i="1"/>
  <c r="D111" i="1"/>
  <c r="Q110" i="1"/>
  <c r="P110" i="1"/>
  <c r="O110" i="1"/>
  <c r="N110" i="1"/>
  <c r="L110" i="1"/>
  <c r="K110" i="1"/>
  <c r="J110" i="1"/>
  <c r="H110" i="1"/>
  <c r="G110" i="1"/>
  <c r="F110" i="1"/>
  <c r="E110" i="1"/>
  <c r="D110" i="1"/>
  <c r="Q109" i="1"/>
  <c r="P109" i="1"/>
  <c r="O109" i="1"/>
  <c r="N109" i="1"/>
  <c r="L109" i="1"/>
  <c r="K109" i="1"/>
  <c r="J109" i="1"/>
  <c r="H109" i="1"/>
  <c r="G109" i="1"/>
  <c r="F109" i="1"/>
  <c r="E109" i="1"/>
  <c r="D109" i="1"/>
  <c r="Q108" i="1"/>
  <c r="P108" i="1"/>
  <c r="O108" i="1"/>
  <c r="N108" i="1"/>
  <c r="L108" i="1"/>
  <c r="K108" i="1"/>
  <c r="J108" i="1"/>
  <c r="H108" i="1"/>
  <c r="G108" i="1"/>
  <c r="F108" i="1"/>
  <c r="E108" i="1"/>
  <c r="D108" i="1"/>
  <c r="Q107" i="1"/>
  <c r="P107" i="1"/>
  <c r="O107" i="1"/>
  <c r="N107" i="1"/>
  <c r="L107" i="1"/>
  <c r="K107" i="1"/>
  <c r="J107" i="1"/>
  <c r="H107" i="1"/>
  <c r="G107" i="1"/>
  <c r="F107" i="1"/>
  <c r="E107" i="1"/>
  <c r="D107" i="1"/>
  <c r="Q106" i="1"/>
  <c r="P106" i="1"/>
  <c r="O106" i="1"/>
  <c r="N106" i="1"/>
  <c r="L106" i="1"/>
  <c r="K106" i="1"/>
  <c r="J106" i="1"/>
  <c r="H106" i="1"/>
  <c r="G106" i="1"/>
  <c r="F106" i="1"/>
  <c r="E106" i="1"/>
  <c r="D106" i="1"/>
  <c r="Q105" i="1"/>
  <c r="P105" i="1"/>
  <c r="O105" i="1"/>
  <c r="N105" i="1"/>
  <c r="L105" i="1"/>
  <c r="K105" i="1"/>
  <c r="J105" i="1"/>
  <c r="H105" i="1"/>
  <c r="G105" i="1"/>
  <c r="F105" i="1"/>
  <c r="E105" i="1"/>
  <c r="D105" i="1"/>
  <c r="Q104" i="1"/>
  <c r="P104" i="1"/>
  <c r="O104" i="1"/>
  <c r="N104" i="1"/>
  <c r="L104" i="1"/>
  <c r="K104" i="1"/>
  <c r="J104" i="1"/>
  <c r="H104" i="1"/>
  <c r="G104" i="1"/>
  <c r="F104" i="1"/>
  <c r="E104" i="1"/>
  <c r="D104" i="1"/>
  <c r="Q103" i="1"/>
  <c r="P103" i="1"/>
  <c r="O103" i="1"/>
  <c r="N103" i="1"/>
  <c r="L103" i="1"/>
  <c r="K103" i="1"/>
  <c r="J103" i="1"/>
  <c r="H103" i="1"/>
  <c r="G103" i="1"/>
  <c r="F103" i="1"/>
  <c r="E103" i="1"/>
  <c r="D103" i="1"/>
  <c r="Q102" i="1"/>
  <c r="P102" i="1"/>
  <c r="O102" i="1"/>
  <c r="N102" i="1"/>
  <c r="L102" i="1"/>
  <c r="K102" i="1"/>
  <c r="J102" i="1"/>
  <c r="H102" i="1"/>
  <c r="G102" i="1"/>
  <c r="F102" i="1"/>
  <c r="E102" i="1"/>
  <c r="D102" i="1"/>
  <c r="Q101" i="1"/>
  <c r="P101" i="1"/>
  <c r="O101" i="1"/>
  <c r="N101" i="1"/>
  <c r="L101" i="1"/>
  <c r="K101" i="1"/>
  <c r="J101" i="1"/>
  <c r="H101" i="1"/>
  <c r="G101" i="1"/>
  <c r="F101" i="1"/>
  <c r="E101" i="1"/>
  <c r="D101" i="1"/>
  <c r="Q100" i="1"/>
  <c r="P100" i="1"/>
  <c r="O100" i="1"/>
  <c r="N100" i="1"/>
  <c r="L100" i="1"/>
  <c r="K100" i="1"/>
  <c r="J100" i="1"/>
  <c r="H100" i="1"/>
  <c r="G100" i="1"/>
  <c r="F100" i="1"/>
  <c r="E100" i="1"/>
  <c r="D100" i="1"/>
  <c r="Q99" i="1"/>
  <c r="P99" i="1"/>
  <c r="O99" i="1"/>
  <c r="N99" i="1"/>
  <c r="L99" i="1"/>
  <c r="K99" i="1"/>
  <c r="J99" i="1"/>
  <c r="H99" i="1"/>
  <c r="G99" i="1"/>
  <c r="F99" i="1"/>
  <c r="E99" i="1"/>
  <c r="D99" i="1"/>
  <c r="Q98" i="1"/>
  <c r="P98" i="1"/>
  <c r="O98" i="1"/>
  <c r="N98" i="1"/>
  <c r="L98" i="1"/>
  <c r="K98" i="1"/>
  <c r="J98" i="1"/>
  <c r="H98" i="1"/>
  <c r="G98" i="1"/>
  <c r="F98" i="1"/>
  <c r="E98" i="1"/>
  <c r="D98" i="1"/>
  <c r="Q97" i="1"/>
  <c r="P97" i="1"/>
  <c r="O97" i="1"/>
  <c r="N97" i="1"/>
  <c r="L97" i="1"/>
  <c r="K97" i="1"/>
  <c r="J97" i="1"/>
  <c r="H97" i="1"/>
  <c r="G97" i="1"/>
  <c r="F97" i="1"/>
  <c r="E97" i="1"/>
  <c r="D97" i="1"/>
  <c r="Q96" i="1"/>
  <c r="P96" i="1"/>
  <c r="O96" i="1"/>
  <c r="N96" i="1"/>
  <c r="L96" i="1"/>
  <c r="K96" i="1"/>
  <c r="J96" i="1"/>
  <c r="H96" i="1"/>
  <c r="G96" i="1"/>
  <c r="F96" i="1"/>
  <c r="E96" i="1"/>
  <c r="D96" i="1"/>
  <c r="Q95" i="1"/>
  <c r="P95" i="1"/>
  <c r="O95" i="1"/>
  <c r="N95" i="1"/>
  <c r="L95" i="1"/>
  <c r="K95" i="1"/>
  <c r="J95" i="1"/>
  <c r="H95" i="1"/>
  <c r="G95" i="1"/>
  <c r="F95" i="1"/>
  <c r="E95" i="1"/>
  <c r="D95" i="1"/>
  <c r="Q94" i="1"/>
  <c r="P94" i="1"/>
  <c r="O94" i="1"/>
  <c r="N94" i="1"/>
  <c r="L94" i="1"/>
  <c r="K94" i="1"/>
  <c r="J94" i="1"/>
  <c r="H94" i="1"/>
  <c r="G94" i="1"/>
  <c r="F94" i="1"/>
  <c r="E94" i="1"/>
  <c r="D94" i="1"/>
  <c r="Q93" i="1"/>
  <c r="P93" i="1"/>
  <c r="O93" i="1"/>
  <c r="N93" i="1"/>
  <c r="L93" i="1"/>
  <c r="K93" i="1"/>
  <c r="J93" i="1"/>
  <c r="H93" i="1"/>
  <c r="G93" i="1"/>
  <c r="F93" i="1"/>
  <c r="E93" i="1"/>
  <c r="D93" i="1"/>
  <c r="Q92" i="1"/>
  <c r="P92" i="1"/>
  <c r="O92" i="1"/>
  <c r="N92" i="1"/>
  <c r="L92" i="1"/>
  <c r="K92" i="1"/>
  <c r="J92" i="1"/>
  <c r="H92" i="1"/>
  <c r="G92" i="1"/>
  <c r="F92" i="1"/>
  <c r="E92" i="1"/>
  <c r="D92" i="1"/>
  <c r="Q91" i="1"/>
  <c r="P91" i="1"/>
  <c r="O91" i="1"/>
  <c r="N91" i="1"/>
  <c r="L91" i="1"/>
  <c r="K91" i="1"/>
  <c r="J91" i="1"/>
  <c r="H91" i="1"/>
  <c r="G91" i="1"/>
  <c r="F91" i="1"/>
  <c r="E91" i="1"/>
  <c r="D91" i="1"/>
  <c r="Q90" i="1"/>
  <c r="P90" i="1"/>
  <c r="O90" i="1"/>
  <c r="N90" i="1"/>
  <c r="L90" i="1"/>
  <c r="K90" i="1"/>
  <c r="J90" i="1"/>
  <c r="H90" i="1"/>
  <c r="G90" i="1"/>
  <c r="F90" i="1"/>
  <c r="E90" i="1"/>
  <c r="D90" i="1"/>
  <c r="Q89" i="1"/>
  <c r="P89" i="1"/>
  <c r="O89" i="1"/>
  <c r="N89" i="1"/>
  <c r="L89" i="1"/>
  <c r="K89" i="1"/>
  <c r="J89" i="1"/>
  <c r="H89" i="1"/>
  <c r="G89" i="1"/>
  <c r="F89" i="1"/>
  <c r="E89" i="1"/>
  <c r="D89" i="1"/>
  <c r="Q88" i="1"/>
  <c r="P88" i="1"/>
  <c r="O88" i="1"/>
  <c r="N88" i="1"/>
  <c r="L88" i="1"/>
  <c r="K88" i="1"/>
  <c r="J88" i="1"/>
  <c r="H88" i="1"/>
  <c r="G88" i="1"/>
  <c r="F88" i="1"/>
  <c r="E88" i="1"/>
  <c r="D88" i="1"/>
  <c r="Q87" i="1"/>
  <c r="P87" i="1"/>
  <c r="O87" i="1"/>
  <c r="N87" i="1"/>
  <c r="L87" i="1"/>
  <c r="K87" i="1"/>
  <c r="J87" i="1"/>
  <c r="H87" i="1"/>
  <c r="G87" i="1"/>
  <c r="F87" i="1"/>
  <c r="E87" i="1"/>
  <c r="D87" i="1"/>
  <c r="Q86" i="1"/>
  <c r="P86" i="1"/>
  <c r="O86" i="1"/>
  <c r="N86" i="1"/>
  <c r="L86" i="1"/>
  <c r="K86" i="1"/>
  <c r="J86" i="1"/>
  <c r="H86" i="1"/>
  <c r="G86" i="1"/>
  <c r="F86" i="1"/>
  <c r="E86" i="1"/>
  <c r="D86" i="1"/>
  <c r="Q85" i="1"/>
  <c r="P85" i="1"/>
  <c r="O85" i="1"/>
  <c r="N85" i="1"/>
  <c r="L85" i="1"/>
  <c r="K85" i="1"/>
  <c r="J85" i="1"/>
  <c r="H85" i="1"/>
  <c r="G85" i="1"/>
  <c r="F85" i="1"/>
  <c r="E85" i="1"/>
  <c r="D85" i="1"/>
  <c r="Q84" i="1"/>
  <c r="P84" i="1"/>
  <c r="O84" i="1"/>
  <c r="N84" i="1"/>
  <c r="L84" i="1"/>
  <c r="K84" i="1"/>
  <c r="J84" i="1"/>
  <c r="H84" i="1"/>
  <c r="G84" i="1"/>
  <c r="F84" i="1"/>
  <c r="E84" i="1"/>
  <c r="D84" i="1"/>
  <c r="Q83" i="1"/>
  <c r="P83" i="1"/>
  <c r="O83" i="1"/>
  <c r="N83" i="1"/>
  <c r="L83" i="1"/>
  <c r="K83" i="1"/>
  <c r="J83" i="1"/>
  <c r="H83" i="1"/>
  <c r="G83" i="1"/>
  <c r="F83" i="1"/>
  <c r="E83" i="1"/>
  <c r="D83" i="1"/>
  <c r="Q82" i="1"/>
  <c r="P82" i="1"/>
  <c r="O82" i="1"/>
  <c r="N82" i="1"/>
  <c r="L82" i="1"/>
  <c r="K82" i="1"/>
  <c r="J82" i="1"/>
  <c r="H82" i="1"/>
  <c r="G82" i="1"/>
  <c r="F82" i="1"/>
  <c r="E82" i="1"/>
  <c r="D82" i="1"/>
  <c r="Q81" i="1"/>
  <c r="P81" i="1"/>
  <c r="O81" i="1"/>
  <c r="N81" i="1"/>
  <c r="L81" i="1"/>
  <c r="K81" i="1"/>
  <c r="J81" i="1"/>
  <c r="H81" i="1"/>
  <c r="G81" i="1"/>
  <c r="F81" i="1"/>
  <c r="E81" i="1"/>
  <c r="D81" i="1"/>
  <c r="Q80" i="1"/>
  <c r="P80" i="1"/>
  <c r="O80" i="1"/>
  <c r="N80" i="1"/>
  <c r="L80" i="1"/>
  <c r="K80" i="1"/>
  <c r="J80" i="1"/>
  <c r="H80" i="1"/>
  <c r="G80" i="1"/>
  <c r="F80" i="1"/>
  <c r="E80" i="1"/>
  <c r="D80" i="1"/>
  <c r="Q79" i="1"/>
  <c r="P79" i="1"/>
  <c r="O79" i="1"/>
  <c r="N79" i="1"/>
  <c r="L79" i="1"/>
  <c r="K79" i="1"/>
  <c r="J79" i="1"/>
  <c r="H79" i="1"/>
  <c r="G79" i="1"/>
  <c r="F79" i="1"/>
  <c r="E79" i="1"/>
  <c r="D79" i="1"/>
  <c r="Q78" i="1"/>
  <c r="P78" i="1"/>
  <c r="O78" i="1"/>
  <c r="N78" i="1"/>
  <c r="L78" i="1"/>
  <c r="K78" i="1"/>
  <c r="J78" i="1"/>
  <c r="H78" i="1"/>
  <c r="G78" i="1"/>
  <c r="F78" i="1"/>
  <c r="E78" i="1"/>
  <c r="D78" i="1"/>
  <c r="Q77" i="1"/>
  <c r="P77" i="1"/>
  <c r="O77" i="1"/>
  <c r="N77" i="1"/>
  <c r="L77" i="1"/>
  <c r="K77" i="1"/>
  <c r="J77" i="1"/>
  <c r="H77" i="1"/>
  <c r="G77" i="1"/>
  <c r="F77" i="1"/>
  <c r="E77" i="1"/>
  <c r="D77" i="1"/>
  <c r="Q76" i="1"/>
  <c r="P76" i="1"/>
  <c r="O76" i="1"/>
  <c r="N76" i="1"/>
  <c r="L76" i="1"/>
  <c r="K76" i="1"/>
  <c r="J76" i="1"/>
  <c r="H76" i="1"/>
  <c r="G76" i="1"/>
  <c r="F76" i="1"/>
  <c r="E76" i="1"/>
  <c r="D76" i="1"/>
  <c r="Q75" i="1"/>
  <c r="P75" i="1"/>
  <c r="O75" i="1"/>
  <c r="N75" i="1"/>
  <c r="L75" i="1"/>
  <c r="K75" i="1"/>
  <c r="J75" i="1"/>
  <c r="H75" i="1"/>
  <c r="G75" i="1"/>
  <c r="F75" i="1"/>
  <c r="E75" i="1"/>
  <c r="D75" i="1"/>
  <c r="Q74" i="1"/>
  <c r="P74" i="1"/>
  <c r="O74" i="1"/>
  <c r="N74" i="1"/>
  <c r="L74" i="1"/>
  <c r="K74" i="1"/>
  <c r="J74" i="1"/>
  <c r="H74" i="1"/>
  <c r="G74" i="1"/>
  <c r="F74" i="1"/>
  <c r="E74" i="1"/>
  <c r="D74" i="1"/>
  <c r="Q73" i="1"/>
  <c r="P73" i="1"/>
  <c r="O73" i="1"/>
  <c r="N73" i="1"/>
  <c r="L73" i="1"/>
  <c r="K73" i="1"/>
  <c r="J73" i="1"/>
  <c r="H73" i="1"/>
  <c r="G73" i="1"/>
  <c r="F73" i="1"/>
  <c r="E73" i="1"/>
  <c r="D73" i="1"/>
  <c r="Q72" i="1"/>
  <c r="P72" i="1"/>
  <c r="O72" i="1"/>
  <c r="N72" i="1"/>
  <c r="L72" i="1"/>
  <c r="K72" i="1"/>
  <c r="J72" i="1"/>
  <c r="H72" i="1"/>
  <c r="G72" i="1"/>
  <c r="F72" i="1"/>
  <c r="E72" i="1"/>
  <c r="D72" i="1"/>
  <c r="Q71" i="1"/>
  <c r="P71" i="1"/>
  <c r="O71" i="1"/>
  <c r="N71" i="1"/>
  <c r="L71" i="1"/>
  <c r="K71" i="1"/>
  <c r="J71" i="1"/>
  <c r="H71" i="1"/>
  <c r="G71" i="1"/>
  <c r="F71" i="1"/>
  <c r="E71" i="1"/>
  <c r="D71" i="1"/>
  <c r="Q70" i="1"/>
  <c r="P70" i="1"/>
  <c r="O70" i="1"/>
  <c r="N70" i="1"/>
  <c r="L70" i="1"/>
  <c r="K70" i="1"/>
  <c r="J70" i="1"/>
  <c r="H70" i="1"/>
  <c r="G70" i="1"/>
  <c r="F70" i="1"/>
  <c r="E70" i="1"/>
  <c r="D70" i="1"/>
  <c r="Q69" i="1"/>
  <c r="P69" i="1"/>
  <c r="O69" i="1"/>
  <c r="N69" i="1"/>
  <c r="L69" i="1"/>
  <c r="K69" i="1"/>
  <c r="J69" i="1"/>
  <c r="H69" i="1"/>
  <c r="G69" i="1"/>
  <c r="F69" i="1"/>
  <c r="E69" i="1"/>
  <c r="D69" i="1"/>
  <c r="Q68" i="1"/>
  <c r="P68" i="1"/>
  <c r="O68" i="1"/>
  <c r="N68" i="1"/>
  <c r="L68" i="1"/>
  <c r="K68" i="1"/>
  <c r="J68" i="1"/>
  <c r="H68" i="1"/>
  <c r="G68" i="1"/>
  <c r="F68" i="1"/>
  <c r="E68" i="1"/>
  <c r="D68" i="1"/>
  <c r="Q67" i="1"/>
  <c r="P67" i="1"/>
  <c r="O67" i="1"/>
  <c r="N67" i="1"/>
  <c r="L67" i="1"/>
  <c r="K67" i="1"/>
  <c r="J67" i="1"/>
  <c r="H67" i="1"/>
  <c r="G67" i="1"/>
  <c r="F67" i="1"/>
  <c r="E67" i="1"/>
  <c r="D67" i="1"/>
  <c r="Q66" i="1"/>
  <c r="P66" i="1"/>
  <c r="O66" i="1"/>
  <c r="N66" i="1"/>
  <c r="L66" i="1"/>
  <c r="K66" i="1"/>
  <c r="J66" i="1"/>
  <c r="H66" i="1"/>
  <c r="G66" i="1"/>
  <c r="F66" i="1"/>
  <c r="E66" i="1"/>
  <c r="D66" i="1"/>
  <c r="Q65" i="1"/>
  <c r="P65" i="1"/>
  <c r="O65" i="1"/>
  <c r="N65" i="1"/>
  <c r="L65" i="1"/>
  <c r="K65" i="1"/>
  <c r="J65" i="1"/>
  <c r="H65" i="1"/>
  <c r="G65" i="1"/>
  <c r="F65" i="1"/>
  <c r="E65" i="1"/>
  <c r="D65" i="1"/>
  <c r="Q64" i="1"/>
  <c r="P64" i="1"/>
  <c r="O64" i="1"/>
  <c r="N64" i="1"/>
  <c r="L64" i="1"/>
  <c r="K64" i="1"/>
  <c r="J64" i="1"/>
  <c r="H64" i="1"/>
  <c r="G64" i="1"/>
  <c r="F64" i="1"/>
  <c r="E64" i="1"/>
  <c r="D64" i="1"/>
  <c r="Q63" i="1"/>
  <c r="P63" i="1"/>
  <c r="O63" i="1"/>
  <c r="N63" i="1"/>
  <c r="L63" i="1"/>
  <c r="K63" i="1"/>
  <c r="J63" i="1"/>
  <c r="H63" i="1"/>
  <c r="G63" i="1"/>
  <c r="F63" i="1"/>
  <c r="E63" i="1"/>
  <c r="D63" i="1"/>
  <c r="Q62" i="1"/>
  <c r="P62" i="1"/>
  <c r="O62" i="1"/>
  <c r="N62" i="1"/>
  <c r="L62" i="1"/>
  <c r="K62" i="1"/>
  <c r="J62" i="1"/>
  <c r="H62" i="1"/>
  <c r="G62" i="1"/>
  <c r="F62" i="1"/>
  <c r="E62" i="1"/>
  <c r="D62" i="1"/>
  <c r="Q61" i="1"/>
  <c r="P61" i="1"/>
  <c r="O61" i="1"/>
  <c r="N61" i="1"/>
  <c r="L61" i="1"/>
  <c r="K61" i="1"/>
  <c r="J61" i="1"/>
  <c r="H61" i="1"/>
  <c r="G61" i="1"/>
  <c r="F61" i="1"/>
  <c r="E61" i="1"/>
  <c r="D61" i="1"/>
  <c r="Q60" i="1"/>
  <c r="P60" i="1"/>
  <c r="O60" i="1"/>
  <c r="N60" i="1"/>
  <c r="L60" i="1"/>
  <c r="K60" i="1"/>
  <c r="J60" i="1"/>
  <c r="H60" i="1"/>
  <c r="G60" i="1"/>
  <c r="F60" i="1"/>
  <c r="E60" i="1"/>
  <c r="D60" i="1"/>
  <c r="Q59" i="1"/>
  <c r="P59" i="1"/>
  <c r="O59" i="1"/>
  <c r="N59" i="1"/>
  <c r="L59" i="1"/>
  <c r="K59" i="1"/>
  <c r="J59" i="1"/>
  <c r="H59" i="1"/>
  <c r="G59" i="1"/>
  <c r="F59" i="1"/>
  <c r="E59" i="1"/>
  <c r="D59" i="1"/>
  <c r="Q58" i="1"/>
  <c r="P58" i="1"/>
  <c r="O58" i="1"/>
  <c r="N58" i="1"/>
  <c r="L58" i="1"/>
  <c r="K58" i="1"/>
  <c r="J58" i="1"/>
  <c r="H58" i="1"/>
  <c r="G58" i="1"/>
  <c r="F58" i="1"/>
  <c r="E58" i="1"/>
  <c r="D58" i="1"/>
  <c r="Q57" i="1"/>
  <c r="P57" i="1"/>
  <c r="O57" i="1"/>
  <c r="N57" i="1"/>
  <c r="L57" i="1"/>
  <c r="K57" i="1"/>
  <c r="J57" i="1"/>
  <c r="H57" i="1"/>
  <c r="G57" i="1"/>
  <c r="F57" i="1"/>
  <c r="E57" i="1"/>
  <c r="D57" i="1"/>
  <c r="Q56" i="1"/>
  <c r="P56" i="1"/>
  <c r="O56" i="1"/>
  <c r="N56" i="1"/>
  <c r="L56" i="1"/>
  <c r="K56" i="1"/>
  <c r="J56" i="1"/>
  <c r="H56" i="1"/>
  <c r="G56" i="1"/>
  <c r="F56" i="1"/>
  <c r="E56" i="1"/>
  <c r="D56" i="1"/>
  <c r="Q55" i="1"/>
  <c r="P55" i="1"/>
  <c r="O55" i="1"/>
  <c r="N55" i="1"/>
  <c r="L55" i="1"/>
  <c r="K55" i="1"/>
  <c r="J55" i="1"/>
  <c r="H55" i="1"/>
  <c r="G55" i="1"/>
  <c r="F55" i="1"/>
  <c r="E55" i="1"/>
  <c r="D55" i="1"/>
  <c r="Q54" i="1"/>
  <c r="P54" i="1"/>
  <c r="O54" i="1"/>
  <c r="N54" i="1"/>
  <c r="L54" i="1"/>
  <c r="K54" i="1"/>
  <c r="J54" i="1"/>
  <c r="H54" i="1"/>
  <c r="G54" i="1"/>
  <c r="F54" i="1"/>
  <c r="E54" i="1"/>
  <c r="D54" i="1"/>
  <c r="Q53" i="1"/>
  <c r="P53" i="1"/>
  <c r="O53" i="1"/>
  <c r="N53" i="1"/>
  <c r="L53" i="1"/>
  <c r="K53" i="1"/>
  <c r="J53" i="1"/>
  <c r="H53" i="1"/>
  <c r="G53" i="1"/>
  <c r="F53" i="1"/>
  <c r="E53" i="1"/>
  <c r="D53" i="1"/>
  <c r="Q52" i="1"/>
  <c r="P52" i="1"/>
  <c r="O52" i="1"/>
  <c r="N52" i="1"/>
  <c r="L52" i="1"/>
  <c r="K52" i="1"/>
  <c r="J52" i="1"/>
  <c r="H52" i="1"/>
  <c r="G52" i="1"/>
  <c r="F52" i="1"/>
  <c r="E52" i="1"/>
  <c r="D52" i="1"/>
  <c r="Q51" i="1"/>
  <c r="P51" i="1"/>
  <c r="O51" i="1"/>
  <c r="N51" i="1"/>
  <c r="L51" i="1"/>
  <c r="K51" i="1"/>
  <c r="J51" i="1"/>
  <c r="H51" i="1"/>
  <c r="G51" i="1"/>
  <c r="F51" i="1"/>
  <c r="E51" i="1"/>
  <c r="D51" i="1"/>
  <c r="Q50" i="1"/>
  <c r="P50" i="1"/>
  <c r="O50" i="1"/>
  <c r="N50" i="1"/>
  <c r="L50" i="1"/>
  <c r="K50" i="1"/>
  <c r="J50" i="1"/>
  <c r="H50" i="1"/>
  <c r="G50" i="1"/>
  <c r="F50" i="1"/>
  <c r="E50" i="1"/>
  <c r="D50" i="1"/>
  <c r="Q49" i="1"/>
  <c r="P49" i="1"/>
  <c r="O49" i="1"/>
  <c r="N49" i="1"/>
  <c r="L49" i="1"/>
  <c r="K49" i="1"/>
  <c r="J49" i="1"/>
  <c r="H49" i="1"/>
  <c r="G49" i="1"/>
  <c r="F49" i="1"/>
  <c r="E49" i="1"/>
  <c r="D49" i="1"/>
  <c r="Q48" i="1"/>
  <c r="P48" i="1"/>
  <c r="O48" i="1"/>
  <c r="N48" i="1"/>
  <c r="L48" i="1"/>
  <c r="K48" i="1"/>
  <c r="J48" i="1"/>
  <c r="H48" i="1"/>
  <c r="G48" i="1"/>
  <c r="F48" i="1"/>
  <c r="E48" i="1"/>
  <c r="D48" i="1"/>
  <c r="Q47" i="1"/>
  <c r="P47" i="1"/>
  <c r="O47" i="1"/>
  <c r="N47" i="1"/>
  <c r="L47" i="1"/>
  <c r="K47" i="1"/>
  <c r="J47" i="1"/>
  <c r="H47" i="1"/>
  <c r="G47" i="1"/>
  <c r="F47" i="1"/>
  <c r="E47" i="1"/>
  <c r="D47" i="1"/>
  <c r="Q46" i="1"/>
  <c r="P46" i="1"/>
  <c r="O46" i="1"/>
  <c r="N46" i="1"/>
  <c r="L46" i="1"/>
  <c r="K46" i="1"/>
  <c r="J46" i="1"/>
  <c r="H46" i="1"/>
  <c r="G46" i="1"/>
  <c r="F46" i="1"/>
  <c r="E46" i="1"/>
  <c r="D46" i="1"/>
  <c r="Q45" i="1"/>
  <c r="P45" i="1"/>
  <c r="O45" i="1"/>
  <c r="N45" i="1"/>
  <c r="L45" i="1"/>
  <c r="K45" i="1"/>
  <c r="J45" i="1"/>
  <c r="H45" i="1"/>
  <c r="G45" i="1"/>
  <c r="F45" i="1"/>
  <c r="E45" i="1"/>
  <c r="D45" i="1"/>
  <c r="Q44" i="1"/>
  <c r="P44" i="1"/>
  <c r="O44" i="1"/>
  <c r="N44" i="1"/>
  <c r="L44" i="1"/>
  <c r="K44" i="1"/>
  <c r="J44" i="1"/>
  <c r="H44" i="1"/>
  <c r="G44" i="1"/>
  <c r="F44" i="1"/>
  <c r="E44" i="1"/>
  <c r="D44" i="1"/>
  <c r="Q43" i="1"/>
  <c r="P43" i="1"/>
  <c r="O43" i="1"/>
  <c r="N43" i="1"/>
  <c r="L43" i="1"/>
  <c r="K43" i="1"/>
  <c r="J43" i="1"/>
  <c r="H43" i="1"/>
  <c r="G43" i="1"/>
  <c r="F43" i="1"/>
  <c r="E43" i="1"/>
  <c r="D43" i="1"/>
  <c r="Q42" i="1"/>
  <c r="P42" i="1"/>
  <c r="O42" i="1"/>
  <c r="N42" i="1"/>
  <c r="L42" i="1"/>
  <c r="K42" i="1"/>
  <c r="J42" i="1"/>
  <c r="H42" i="1"/>
  <c r="G42" i="1"/>
  <c r="F42" i="1"/>
  <c r="E42" i="1"/>
  <c r="D42" i="1"/>
  <c r="Q41" i="1"/>
  <c r="P41" i="1"/>
  <c r="O41" i="1"/>
  <c r="N41" i="1"/>
  <c r="L41" i="1"/>
  <c r="K41" i="1"/>
  <c r="J41" i="1"/>
  <c r="H41" i="1"/>
  <c r="G41" i="1"/>
  <c r="F41" i="1"/>
  <c r="E41" i="1"/>
  <c r="D41" i="1"/>
  <c r="Q40" i="1"/>
  <c r="P40" i="1"/>
  <c r="O40" i="1"/>
  <c r="N40" i="1"/>
  <c r="L40" i="1"/>
  <c r="K40" i="1"/>
  <c r="J40" i="1"/>
  <c r="H40" i="1"/>
  <c r="G40" i="1"/>
  <c r="F40" i="1"/>
  <c r="E40" i="1"/>
  <c r="D40" i="1"/>
  <c r="Q39" i="1"/>
  <c r="P39" i="1"/>
  <c r="O39" i="1"/>
  <c r="N39" i="1"/>
  <c r="L39" i="1"/>
  <c r="K39" i="1"/>
  <c r="J39" i="1"/>
  <c r="H39" i="1"/>
  <c r="G39" i="1"/>
  <c r="F39" i="1"/>
  <c r="E39" i="1"/>
  <c r="D39" i="1"/>
  <c r="Q38" i="1"/>
  <c r="P38" i="1"/>
  <c r="O38" i="1"/>
  <c r="N38" i="1"/>
  <c r="L38" i="1"/>
  <c r="K38" i="1"/>
  <c r="J38" i="1"/>
  <c r="H38" i="1"/>
  <c r="G38" i="1"/>
  <c r="F38" i="1"/>
  <c r="E38" i="1"/>
  <c r="D38" i="1"/>
  <c r="Q37" i="1"/>
  <c r="P37" i="1"/>
  <c r="O37" i="1"/>
  <c r="N37" i="1"/>
  <c r="L37" i="1"/>
  <c r="K37" i="1"/>
  <c r="J37" i="1"/>
  <c r="H37" i="1"/>
  <c r="G37" i="1"/>
  <c r="F37" i="1"/>
  <c r="E37" i="1"/>
  <c r="D37" i="1"/>
  <c r="Q36" i="1"/>
  <c r="P36" i="1"/>
  <c r="O36" i="1"/>
  <c r="N36" i="1"/>
  <c r="L36" i="1"/>
  <c r="K36" i="1"/>
  <c r="J36" i="1"/>
  <c r="H36" i="1"/>
  <c r="G36" i="1"/>
  <c r="F36" i="1"/>
  <c r="E36" i="1"/>
  <c r="D36" i="1"/>
  <c r="Q35" i="1"/>
  <c r="P35" i="1"/>
  <c r="O35" i="1"/>
  <c r="N35" i="1"/>
  <c r="L35" i="1"/>
  <c r="K35" i="1"/>
  <c r="J35" i="1"/>
  <c r="H35" i="1"/>
  <c r="G35" i="1"/>
  <c r="F35" i="1"/>
  <c r="E35" i="1"/>
  <c r="D35" i="1"/>
  <c r="Q34" i="1"/>
  <c r="P34" i="1"/>
  <c r="O34" i="1"/>
  <c r="N34" i="1"/>
  <c r="L34" i="1"/>
  <c r="K34" i="1"/>
  <c r="J34" i="1"/>
  <c r="H34" i="1"/>
  <c r="G34" i="1"/>
  <c r="F34" i="1"/>
  <c r="E34" i="1"/>
  <c r="D34" i="1"/>
  <c r="Q33" i="1"/>
  <c r="P33" i="1"/>
  <c r="O33" i="1"/>
  <c r="N33" i="1"/>
  <c r="L33" i="1"/>
  <c r="K33" i="1"/>
  <c r="J33" i="1"/>
  <c r="H33" i="1"/>
  <c r="G33" i="1"/>
  <c r="F33" i="1"/>
  <c r="E33" i="1"/>
  <c r="D33" i="1"/>
  <c r="Q32" i="1"/>
  <c r="P32" i="1"/>
  <c r="O32" i="1"/>
  <c r="N32" i="1"/>
  <c r="L32" i="1"/>
  <c r="K32" i="1"/>
  <c r="J32" i="1"/>
  <c r="H32" i="1"/>
  <c r="G32" i="1"/>
  <c r="F32" i="1"/>
  <c r="E32" i="1"/>
  <c r="D32" i="1"/>
  <c r="Q31" i="1"/>
  <c r="P31" i="1"/>
  <c r="O31" i="1"/>
  <c r="N31" i="1"/>
  <c r="L31" i="1"/>
  <c r="K31" i="1"/>
  <c r="J31" i="1"/>
  <c r="H31" i="1"/>
  <c r="G31" i="1"/>
  <c r="F31" i="1"/>
  <c r="E31" i="1"/>
  <c r="D31" i="1"/>
  <c r="Q30" i="1"/>
  <c r="P30" i="1"/>
  <c r="O30" i="1"/>
  <c r="N30" i="1"/>
  <c r="L30" i="1"/>
  <c r="K30" i="1"/>
  <c r="J30" i="1"/>
  <c r="H30" i="1"/>
  <c r="G30" i="1"/>
  <c r="F30" i="1"/>
  <c r="E30" i="1"/>
  <c r="D30" i="1"/>
  <c r="Q29" i="1"/>
  <c r="P29" i="1"/>
  <c r="O29" i="1"/>
  <c r="N29" i="1"/>
  <c r="L29" i="1"/>
  <c r="K29" i="1"/>
  <c r="J29" i="1"/>
  <c r="H29" i="1"/>
  <c r="G29" i="1"/>
  <c r="F29" i="1"/>
  <c r="E29" i="1"/>
  <c r="D29" i="1"/>
  <c r="Q28" i="1"/>
  <c r="P28" i="1"/>
  <c r="O28" i="1"/>
  <c r="N28" i="1"/>
  <c r="L28" i="1"/>
  <c r="K28" i="1"/>
  <c r="J28" i="1"/>
  <c r="H28" i="1"/>
  <c r="G28" i="1"/>
  <c r="F28" i="1"/>
  <c r="E28" i="1"/>
  <c r="D28" i="1"/>
  <c r="Q27" i="1"/>
  <c r="P27" i="1"/>
  <c r="O27" i="1"/>
  <c r="N27" i="1"/>
  <c r="L27" i="1"/>
  <c r="K27" i="1"/>
  <c r="J27" i="1"/>
  <c r="H27" i="1"/>
  <c r="G27" i="1"/>
  <c r="F27" i="1"/>
  <c r="E27" i="1"/>
  <c r="D27" i="1"/>
  <c r="Q26" i="1"/>
  <c r="P26" i="1"/>
  <c r="O26" i="1"/>
  <c r="N26" i="1"/>
  <c r="L26" i="1"/>
  <c r="K26" i="1"/>
  <c r="J26" i="1"/>
  <c r="H26" i="1"/>
  <c r="G26" i="1"/>
  <c r="F26" i="1"/>
  <c r="E26" i="1"/>
  <c r="D26" i="1"/>
  <c r="Q25" i="1"/>
  <c r="P25" i="1"/>
  <c r="O25" i="1"/>
  <c r="N25" i="1"/>
  <c r="L25" i="1"/>
  <c r="K25" i="1"/>
  <c r="J25" i="1"/>
  <c r="H25" i="1"/>
  <c r="G25" i="1"/>
  <c r="F25" i="1"/>
  <c r="E25" i="1"/>
  <c r="D25" i="1"/>
  <c r="Q24" i="1"/>
  <c r="P24" i="1"/>
  <c r="O24" i="1"/>
  <c r="N24" i="1"/>
  <c r="L24" i="1"/>
  <c r="K24" i="1"/>
  <c r="J24" i="1"/>
  <c r="H24" i="1"/>
  <c r="G24" i="1"/>
  <c r="F24" i="1"/>
  <c r="E24" i="1"/>
  <c r="D24" i="1"/>
  <c r="Q23" i="1"/>
  <c r="P23" i="1"/>
  <c r="O23" i="1"/>
  <c r="N23" i="1"/>
  <c r="L23" i="1"/>
  <c r="K23" i="1"/>
  <c r="J23" i="1"/>
  <c r="H23" i="1"/>
  <c r="G23" i="1"/>
  <c r="F23" i="1"/>
  <c r="E23" i="1"/>
  <c r="D23" i="1"/>
  <c r="Q22" i="1"/>
  <c r="P22" i="1"/>
  <c r="O22" i="1"/>
  <c r="N22" i="1"/>
  <c r="L22" i="1"/>
  <c r="K22" i="1"/>
  <c r="J22" i="1"/>
  <c r="H22" i="1"/>
  <c r="G22" i="1"/>
  <c r="F22" i="1"/>
  <c r="E22" i="1"/>
  <c r="D22" i="1"/>
  <c r="Q21" i="1"/>
  <c r="P21" i="1"/>
  <c r="O21" i="1"/>
  <c r="N21" i="1"/>
  <c r="L21" i="1"/>
  <c r="K21" i="1"/>
  <c r="J21" i="1"/>
  <c r="H21" i="1"/>
  <c r="G21" i="1"/>
  <c r="F21" i="1"/>
  <c r="E21" i="1"/>
  <c r="D21" i="1"/>
  <c r="Q20" i="1"/>
  <c r="P20" i="1"/>
  <c r="O20" i="1"/>
  <c r="N20" i="1"/>
  <c r="L20" i="1"/>
  <c r="K20" i="1"/>
  <c r="J20" i="1"/>
  <c r="H20" i="1"/>
  <c r="G20" i="1"/>
  <c r="F20" i="1"/>
  <c r="E20" i="1"/>
  <c r="D20" i="1"/>
  <c r="Q19" i="1"/>
  <c r="P19" i="1"/>
  <c r="O19" i="1"/>
  <c r="N19" i="1"/>
  <c r="L19" i="1"/>
  <c r="K19" i="1"/>
  <c r="J19" i="1"/>
  <c r="H19" i="1"/>
  <c r="G19" i="1"/>
  <c r="F19" i="1"/>
  <c r="E19" i="1"/>
  <c r="D19" i="1"/>
  <c r="Q18" i="1"/>
  <c r="P18" i="1"/>
  <c r="O18" i="1"/>
  <c r="N18" i="1"/>
  <c r="L18" i="1"/>
  <c r="K18" i="1"/>
  <c r="J18" i="1"/>
  <c r="H18" i="1"/>
  <c r="G18" i="1"/>
  <c r="F18" i="1"/>
  <c r="E18" i="1"/>
  <c r="D18" i="1"/>
  <c r="Q17" i="1"/>
  <c r="P17" i="1"/>
  <c r="O17" i="1"/>
  <c r="N17" i="1"/>
  <c r="L17" i="1"/>
  <c r="K17" i="1"/>
  <c r="J17" i="1"/>
  <c r="H17" i="1"/>
  <c r="G17" i="1"/>
  <c r="F17" i="1"/>
  <c r="E17" i="1"/>
  <c r="D17" i="1"/>
  <c r="Q16" i="1"/>
  <c r="P16" i="1"/>
  <c r="O16" i="1"/>
  <c r="N16" i="1"/>
  <c r="L16" i="1"/>
  <c r="K16" i="1"/>
  <c r="J16" i="1"/>
  <c r="H16" i="1"/>
  <c r="G16" i="1"/>
  <c r="F16" i="1"/>
  <c r="E16" i="1"/>
  <c r="D16" i="1"/>
  <c r="Q15" i="1"/>
  <c r="P15" i="1"/>
  <c r="O15" i="1"/>
  <c r="N15" i="1"/>
  <c r="L15" i="1"/>
  <c r="K15" i="1"/>
  <c r="J15" i="1"/>
  <c r="H15" i="1"/>
  <c r="G15" i="1"/>
  <c r="F15" i="1"/>
  <c r="E15" i="1"/>
  <c r="D15" i="1"/>
  <c r="Q14" i="1"/>
  <c r="P14" i="1"/>
  <c r="O14" i="1"/>
  <c r="N14" i="1"/>
  <c r="L14" i="1"/>
  <c r="K14" i="1"/>
  <c r="J14" i="1"/>
  <c r="H14" i="1"/>
  <c r="G14" i="1"/>
  <c r="F14" i="1"/>
  <c r="E14" i="1"/>
  <c r="D14" i="1"/>
  <c r="Q13" i="1"/>
  <c r="P13" i="1"/>
  <c r="O13" i="1"/>
  <c r="N13" i="1"/>
  <c r="L13" i="1"/>
  <c r="K13" i="1"/>
  <c r="J13" i="1"/>
  <c r="H13" i="1"/>
  <c r="G13" i="1"/>
  <c r="F13" i="1"/>
  <c r="E13" i="1"/>
  <c r="D13" i="1"/>
  <c r="Q12" i="1"/>
  <c r="P12" i="1"/>
  <c r="O12" i="1"/>
  <c r="N12" i="1"/>
  <c r="L12" i="1"/>
  <c r="K12" i="1"/>
  <c r="J12" i="1"/>
  <c r="H12" i="1"/>
  <c r="G12" i="1"/>
  <c r="F12" i="1"/>
  <c r="E12" i="1"/>
  <c r="D12" i="1"/>
  <c r="Q11" i="1"/>
  <c r="P11" i="1"/>
  <c r="O11" i="1"/>
  <c r="N11" i="1"/>
  <c r="L11" i="1"/>
  <c r="K11" i="1"/>
  <c r="J11" i="1"/>
  <c r="H11" i="1"/>
  <c r="G11" i="1"/>
  <c r="F11" i="1"/>
  <c r="E11" i="1"/>
  <c r="D11" i="1"/>
  <c r="Q10" i="1"/>
  <c r="P10" i="1"/>
  <c r="O10" i="1"/>
  <c r="N10" i="1"/>
  <c r="L10" i="1"/>
  <c r="K10" i="1"/>
  <c r="J10" i="1"/>
  <c r="H10" i="1"/>
  <c r="G10" i="1"/>
  <c r="F10" i="1"/>
  <c r="E10" i="1"/>
  <c r="D10" i="1"/>
  <c r="Q9" i="1"/>
  <c r="P9" i="1"/>
  <c r="O9" i="1"/>
  <c r="N9" i="1"/>
  <c r="L9" i="1"/>
  <c r="K9" i="1"/>
  <c r="J9" i="1"/>
  <c r="H9" i="1"/>
  <c r="G9" i="1"/>
  <c r="F9" i="1"/>
  <c r="E9" i="1"/>
  <c r="D9" i="1"/>
  <c r="Q8" i="1"/>
  <c r="P8" i="1"/>
  <c r="O8" i="1"/>
  <c r="N8" i="1"/>
  <c r="L8" i="1"/>
  <c r="K8" i="1"/>
  <c r="J8" i="1"/>
  <c r="H8" i="1"/>
  <c r="G8" i="1"/>
  <c r="F8" i="1"/>
  <c r="E8" i="1"/>
  <c r="D8" i="1"/>
  <c r="Q7" i="1"/>
  <c r="P7" i="1"/>
  <c r="O7" i="1"/>
  <c r="N7" i="1"/>
  <c r="L7" i="1"/>
  <c r="K7" i="1"/>
  <c r="J7" i="1"/>
  <c r="H7" i="1"/>
  <c r="G7" i="1"/>
  <c r="F7" i="1"/>
  <c r="E7" i="1"/>
  <c r="D7" i="1"/>
  <c r="Q6" i="1"/>
  <c r="P6" i="1"/>
  <c r="O6" i="1"/>
  <c r="N6" i="1"/>
  <c r="L6" i="1"/>
  <c r="K6" i="1"/>
  <c r="J6" i="1"/>
  <c r="H6" i="1"/>
  <c r="G6" i="1"/>
  <c r="F6" i="1"/>
  <c r="E6" i="1"/>
  <c r="D6" i="1"/>
  <c r="Q5" i="1"/>
  <c r="P5" i="1"/>
  <c r="O5" i="1"/>
  <c r="N5" i="1"/>
  <c r="L5" i="1"/>
  <c r="K5" i="1"/>
  <c r="J5" i="1"/>
  <c r="H5" i="1"/>
  <c r="G5" i="1"/>
  <c r="F5" i="1"/>
  <c r="E5" i="1"/>
  <c r="D5" i="1"/>
  <c r="Q4" i="1"/>
  <c r="P4" i="1"/>
  <c r="O4" i="1"/>
  <c r="N4" i="1"/>
  <c r="L4" i="1"/>
  <c r="K4" i="1"/>
  <c r="J4" i="1"/>
  <c r="H4" i="1"/>
  <c r="G4" i="1"/>
  <c r="F4" i="1"/>
  <c r="E4" i="1"/>
  <c r="D4" i="1"/>
  <c r="Q3" i="1"/>
  <c r="P3" i="1"/>
  <c r="O3" i="1"/>
  <c r="N3" i="1"/>
  <c r="L3" i="1"/>
  <c r="K3" i="1"/>
  <c r="J3" i="1"/>
  <c r="H3" i="1"/>
  <c r="G3" i="1"/>
  <c r="F3" i="1"/>
  <c r="E3" i="1"/>
  <c r="D3" i="1"/>
  <c r="Q2" i="1"/>
  <c r="P2" i="1"/>
  <c r="O2" i="1"/>
  <c r="N2" i="1"/>
  <c r="L2" i="1"/>
  <c r="K2" i="1"/>
  <c r="J2" i="1"/>
  <c r="H2" i="1"/>
  <c r="G2" i="1"/>
  <c r="F2" i="1"/>
  <c r="E2" i="1"/>
  <c r="D2" i="1"/>
</calcChain>
</file>

<file path=xl/sharedStrings.xml><?xml version="1.0" encoding="utf-8"?>
<sst xmlns="http://schemas.openxmlformats.org/spreadsheetml/2006/main" count="816" uniqueCount="241">
  <si>
    <t>Company name</t>
  </si>
  <si>
    <t>Location</t>
  </si>
  <si>
    <t>ebitda</t>
  </si>
  <si>
    <t>ebit</t>
  </si>
  <si>
    <t>emp</t>
  </si>
  <si>
    <t>ST debt</t>
  </si>
  <si>
    <t>New hires</t>
  </si>
  <si>
    <t>Dep who hired the most</t>
  </si>
  <si>
    <t>Average new employee pay</t>
  </si>
  <si>
    <t>Last quarter new clients</t>
  </si>
  <si>
    <t>n of acquired</t>
  </si>
  <si>
    <t>% of diversified</t>
  </si>
  <si>
    <t>% of consolidation</t>
  </si>
  <si>
    <t>is the company been acquired by a PE Fund</t>
  </si>
  <si>
    <t>is planning a m&amp;a operation</t>
  </si>
  <si>
    <t>is planning a capital increase</t>
  </si>
  <si>
    <t>x1</t>
  </si>
  <si>
    <t>Cremona</t>
  </si>
  <si>
    <t>Sales</t>
  </si>
  <si>
    <t>x2</t>
  </si>
  <si>
    <t>Milano</t>
  </si>
  <si>
    <t>HR</t>
  </si>
  <si>
    <t>x3</t>
  </si>
  <si>
    <t>Bergamo</t>
  </si>
  <si>
    <t>x4</t>
  </si>
  <si>
    <t>Venezia</t>
  </si>
  <si>
    <t>x5</t>
  </si>
  <si>
    <t>Cagliari</t>
  </si>
  <si>
    <t>IT</t>
  </si>
  <si>
    <t>x6</t>
  </si>
  <si>
    <t>Montebelluna</t>
  </si>
  <si>
    <t>x7</t>
  </si>
  <si>
    <t>Portogruaro</t>
  </si>
  <si>
    <t>Resources</t>
  </si>
  <si>
    <t>x8</t>
  </si>
  <si>
    <t>Carbonia</t>
  </si>
  <si>
    <t>x9</t>
  </si>
  <si>
    <t>Pagani</t>
  </si>
  <si>
    <t>Operations</t>
  </si>
  <si>
    <t>x10</t>
  </si>
  <si>
    <t>Salerno</t>
  </si>
  <si>
    <t>Financial</t>
  </si>
  <si>
    <t>x11</t>
  </si>
  <si>
    <t>Sassari</t>
  </si>
  <si>
    <t>x12</t>
  </si>
  <si>
    <t>Firenze</t>
  </si>
  <si>
    <t>x13</t>
  </si>
  <si>
    <t>Management</t>
  </si>
  <si>
    <t>x14</t>
  </si>
  <si>
    <t>Brescia</t>
  </si>
  <si>
    <t>x15</t>
  </si>
  <si>
    <t>x16</t>
  </si>
  <si>
    <t>Ferrara</t>
  </si>
  <si>
    <t>x17</t>
  </si>
  <si>
    <t>Udine</t>
  </si>
  <si>
    <t>x18</t>
  </si>
  <si>
    <t>x19</t>
  </si>
  <si>
    <t>x20</t>
  </si>
  <si>
    <t>x21</t>
  </si>
  <si>
    <t>x22</t>
  </si>
  <si>
    <t>Castiglione delle stiviere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</si>
  <si>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</si>
  <si>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</si>
  <si>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</si>
  <si>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</si>
  <si>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</si>
  <si>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</si>
  <si>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</si>
  <si>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</si>
  <si>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</si>
  <si>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</si>
  <si>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</si>
  <si>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</si>
  <si>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</si>
  <si>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</si>
  <si>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</si>
  <si>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</si>
  <si>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</si>
  <si>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</si>
  <si>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</si>
  <si>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</si>
  <si>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</si>
  <si>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</si>
  <si>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</si>
  <si>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</si>
  <si>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</si>
  <si>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</si>
  <si>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</si>
  <si>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</si>
  <si>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</si>
  <si>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</si>
  <si>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</si>
  <si>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</si>
  <si>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</si>
  <si>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</si>
  <si>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</si>
  <si>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</si>
  <si>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</si>
  <si>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</si>
  <si>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</si>
  <si>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</si>
  <si>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</si>
  <si>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</si>
  <si>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</si>
  <si>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</si>
  <si>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</si>
  <si>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</si>
  <si>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</si>
  <si>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</si>
  <si>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</si>
  <si>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</si>
  <si>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</si>
  <si>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</si>
  <si>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</si>
  <si>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</si>
  <si>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</si>
  <si>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</si>
  <si>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</si>
  <si>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</si>
  <si>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</si>
  <si>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</si>
  <si>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</si>
  <si>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</si>
  <si>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</si>
  <si>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</si>
  <si>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</si>
  <si>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</si>
  <si>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</si>
  <si>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</si>
  <si>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</si>
  <si>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</si>
  <si>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</si>
  <si>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</si>
  <si>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</si>
  <si>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</si>
  <si>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</si>
  <si>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</si>
  <si>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</si>
  <si>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</si>
  <si>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</si>
  <si>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</si>
  <si>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</si>
  <si>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</si>
  <si>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</si>
  <si>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</si>
  <si>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</si>
  <si>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</si>
  <si>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</si>
  <si>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</si>
  <si>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</si>
  <si>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</si>
  <si>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</si>
  <si>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</si>
  <si>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</si>
  <si>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</si>
  <si>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</si>
  <si>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</si>
  <si>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</si>
  <si>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</si>
  <si>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</si>
  <si>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</si>
  <si>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</si>
  <si>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</si>
  <si>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</si>
  <si>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</si>
  <si>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</si>
  <si>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</si>
  <si>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</si>
  <si>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</si>
  <si>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</si>
  <si>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</si>
  <si>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</si>
  <si>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</si>
  <si>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</si>
  <si>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</si>
  <si>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</si>
  <si>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</si>
  <si>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</si>
  <si>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</si>
  <si>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</si>
  <si>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</si>
  <si>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</si>
  <si>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</si>
  <si>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</si>
  <si>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</si>
  <si>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</si>
  <si>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</si>
  <si>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</si>
  <si>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</si>
  <si>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</si>
  <si>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</si>
  <si>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</si>
  <si>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</si>
  <si>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</si>
  <si>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</si>
  <si>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</si>
  <si>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</si>
  <si>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</si>
  <si>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</si>
  <si>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</si>
  <si>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</si>
  <si>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</si>
  <si>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</si>
  <si>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</si>
  <si>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</si>
  <si>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</si>
  <si>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</si>
  <si>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</si>
  <si>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</si>
  <si>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</si>
  <si>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</si>
  <si>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</si>
  <si>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</si>
  <si>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</si>
  <si>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</si>
  <si>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</si>
  <si>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</si>
  <si>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</si>
  <si>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</si>
  <si>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</si>
  <si>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</si>
  <si>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</si>
  <si>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</si>
  <si>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</si>
  <si>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</si>
  <si>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</si>
  <si>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</si>
  <si>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</si>
  <si>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</si>
  <si>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</si>
  <si>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</si>
  <si>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</si>
  <si>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</si>
  <si>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</si>
  <si>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</si>
  <si>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</si>
  <si>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</si>
  <si>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</si>
  <si>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x200</t>
  </si>
  <si>
    <t>Sector</t>
  </si>
  <si>
    <t>Property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</si>
</sst>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0" xfId="0" applyFont="1" applyFill="1"/>
    <xf numFmtId="9" fontId="2" fillId="2" borderId="0" xfId="1" applyFont="1" applyFill="1"/>
    <xf numFmtId="0" fontId="0" fillId="2" borderId="0" xfId="0" applyFill="1"/>
    <xf numFmtId="9" fontId="0" fillId="2" borderId="0" xfId="1" applyFont="1" applyFill="1"/>
    <xf numFmtId="9" fontId="0" fillId="2" borderId="0" xfId="0" applyNumberFormat="1" applyFill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e39a5067324f7cf/Documents/list1.xlsx" TargetMode="External"/><Relationship Id="rId1" Type="http://schemas.openxmlformats.org/officeDocument/2006/relationships/externalLinkPath" Target="list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s"/>
    </sheetNames>
    <sheetDataSet>
      <sheetData sheetId="0">
        <row r="2">
          <cell r="E2" t="str">
            <v>Property Services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BD37A-C378-40D4-AE76-7C391BEA37BE}">
  <dimension ref="A1:Q201"/>
  <sheetViews>
    <sheetView tabSelected="1" workbookViewId="0">
      <selection activeCell="F1" sqref="F1"/>
    </sheetView>
  </sheetViews>
  <sheetFormatPr defaultRowHeight="14.4" x14ac:dyDescent="0.3"/>
  <cols>
    <col min="13" max="13" width="8.88671875" style="6"/>
  </cols>
  <sheetData>
    <row r="1" spans="1:17" x14ac:dyDescent="0.3">
      <c r="A1" s="1" t="s">
        <v>0</v>
      </c>
      <c r="B1" s="1" t="s">
        <v>239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">
      <c r="A2" s="1" t="s">
        <v>16</v>
      </c>
      <c r="B2" s="1" t="str">
        <f>[1]Results!$E$2</f>
        <v>Property Services</v>
      </c>
      <c r="C2" s="1" t="s">
        <v>17</v>
      </c>
      <c r="D2" s="3">
        <f ca="1">RANDBETWEEN(9000001,100000000)</f>
        <v>34319095</v>
      </c>
      <c r="E2" s="3">
        <f ca="1">RANDBETWEEN(10,9000000)</f>
        <v>2594389</v>
      </c>
      <c r="F2" s="3">
        <f ca="1">RANDBETWEEN(1,500)</f>
        <v>363</v>
      </c>
      <c r="G2" s="3">
        <f ca="1">RANDBETWEEN(10,10000000)</f>
        <v>5581475</v>
      </c>
      <c r="H2" s="3">
        <f ca="1">RANDBETWEEN(1,500)</f>
        <v>483</v>
      </c>
      <c r="I2" s="1" t="s">
        <v>18</v>
      </c>
      <c r="J2" s="3">
        <f ca="1">RANDBETWEEN(10000,600000)</f>
        <v>341270</v>
      </c>
      <c r="K2" s="3">
        <f ca="1">RANDBETWEEN(0,550)</f>
        <v>495</v>
      </c>
      <c r="L2" s="3">
        <f ca="1">RANDBETWEEN(0,130)</f>
        <v>120</v>
      </c>
      <c r="M2" s="4">
        <v>0.12</v>
      </c>
      <c r="N2" s="5">
        <f>1-M2</f>
        <v>0.88</v>
      </c>
      <c r="O2" s="1">
        <f ca="1">RANDBETWEEN(0,1)</f>
        <v>1</v>
      </c>
      <c r="P2" s="1">
        <f t="shared" ref="P2:Q17" ca="1" si="0">RANDBETWEEN(0,1)</f>
        <v>0</v>
      </c>
      <c r="Q2" s="1">
        <f t="shared" ca="1" si="0"/>
        <v>0</v>
      </c>
    </row>
    <row r="3" spans="1:17" x14ac:dyDescent="0.3">
      <c r="A3" s="1" t="s">
        <v>19</v>
      </c>
      <c r="B3" s="1" t="s">
        <v>240</v>
      </c>
      <c r="C3" s="1" t="s">
        <v>20</v>
      </c>
      <c r="D3" s="3">
        <f t="shared" ref="D3:D66" ca="1" si="1">RANDBETWEEN(9000001,100000000)</f>
        <v>99884954</v>
      </c>
      <c r="E3" s="3">
        <f t="shared" ref="E3:E66" ca="1" si="2">RANDBETWEEN(10,9000000)</f>
        <v>5196383</v>
      </c>
      <c r="F3" s="3">
        <f t="shared" ref="F3:F66" ca="1" si="3">RANDBETWEEN(1,500)</f>
        <v>242</v>
      </c>
      <c r="G3" s="3">
        <f t="shared" ref="G3:G66" ca="1" si="4">RANDBETWEEN(10,10000000)</f>
        <v>8129052</v>
      </c>
      <c r="H3" s="3">
        <f t="shared" ref="H3:H66" ca="1" si="5">RANDBETWEEN(1,500)</f>
        <v>78</v>
      </c>
      <c r="I3" s="1" t="s">
        <v>21</v>
      </c>
      <c r="J3" s="3">
        <f t="shared" ref="J3:J66" ca="1" si="6">RANDBETWEEN(10000,600000)</f>
        <v>555358</v>
      </c>
      <c r="K3" s="3">
        <f t="shared" ref="K3:K66" ca="1" si="7">RANDBETWEEN(0,550)</f>
        <v>464</v>
      </c>
      <c r="L3" s="3">
        <f t="shared" ref="L3:L66" ca="1" si="8">RANDBETWEEN(0,130)</f>
        <v>61</v>
      </c>
      <c r="M3" s="4">
        <v>0.01</v>
      </c>
      <c r="N3" s="5">
        <f t="shared" ref="N3:N66" si="9">1-M3</f>
        <v>0.99</v>
      </c>
      <c r="O3" s="1">
        <f t="shared" ref="O3:Q66" ca="1" si="10">RANDBETWEEN(0,1)</f>
        <v>1</v>
      </c>
      <c r="P3" s="1">
        <f t="shared" ca="1" si="0"/>
        <v>0</v>
      </c>
      <c r="Q3" s="1">
        <f t="shared" ca="1" si="0"/>
        <v>1</v>
      </c>
    </row>
    <row r="4" spans="1:17" x14ac:dyDescent="0.3">
      <c r="A4" s="1" t="s">
        <v>22</v>
      </c>
      <c r="B4" s="1" t="s">
        <v>240</v>
      </c>
      <c r="C4" s="1" t="s">
        <v>23</v>
      </c>
      <c r="D4" s="3">
        <f t="shared" ca="1" si="1"/>
        <v>53541138</v>
      </c>
      <c r="E4" s="3">
        <f t="shared" ca="1" si="2"/>
        <v>2832842</v>
      </c>
      <c r="F4" s="3">
        <f t="shared" ca="1" si="3"/>
        <v>341</v>
      </c>
      <c r="G4" s="3">
        <f t="shared" ca="1" si="4"/>
        <v>8036140</v>
      </c>
      <c r="H4" s="3">
        <f t="shared" ca="1" si="5"/>
        <v>323</v>
      </c>
      <c r="I4" s="1" t="s">
        <v>21</v>
      </c>
      <c r="J4" s="3">
        <f t="shared" ca="1" si="6"/>
        <v>526338</v>
      </c>
      <c r="K4" s="3">
        <f t="shared" ca="1" si="7"/>
        <v>69</v>
      </c>
      <c r="L4" s="3">
        <f t="shared" ca="1" si="8"/>
        <v>21</v>
      </c>
      <c r="M4" s="4">
        <v>0.23</v>
      </c>
      <c r="N4" s="5">
        <f t="shared" si="9"/>
        <v>0.77</v>
      </c>
      <c r="O4" s="1">
        <f t="shared" ca="1" si="10"/>
        <v>1</v>
      </c>
      <c r="P4" s="1">
        <f t="shared" ca="1" si="0"/>
        <v>1</v>
      </c>
      <c r="Q4" s="1">
        <f t="shared" ca="1" si="0"/>
        <v>0</v>
      </c>
    </row>
    <row r="5" spans="1:17" x14ac:dyDescent="0.3">
      <c r="A5" s="1" t="s">
        <v>24</v>
      </c>
      <c r="B5" s="1" t="s">
        <v>240</v>
      </c>
      <c r="C5" s="1" t="s">
        <v>25</v>
      </c>
      <c r="D5" s="3">
        <f t="shared" ca="1" si="1"/>
        <v>20044368</v>
      </c>
      <c r="E5" s="3">
        <f t="shared" ca="1" si="2"/>
        <v>693303</v>
      </c>
      <c r="F5" s="3">
        <f t="shared" ca="1" si="3"/>
        <v>486</v>
      </c>
      <c r="G5" s="3">
        <f t="shared" ca="1" si="4"/>
        <v>8213689</v>
      </c>
      <c r="H5" s="3">
        <f t="shared" ca="1" si="5"/>
        <v>285</v>
      </c>
      <c r="I5" s="1" t="s">
        <v>18</v>
      </c>
      <c r="J5" s="3">
        <f t="shared" ca="1" si="6"/>
        <v>354072</v>
      </c>
      <c r="K5" s="3">
        <f t="shared" ca="1" si="7"/>
        <v>79</v>
      </c>
      <c r="L5" s="3">
        <f t="shared" ca="1" si="8"/>
        <v>37</v>
      </c>
      <c r="M5" s="4">
        <v>0.76</v>
      </c>
      <c r="N5" s="5">
        <f t="shared" si="9"/>
        <v>0.24</v>
      </c>
      <c r="O5" s="1">
        <f t="shared" ca="1" si="10"/>
        <v>1</v>
      </c>
      <c r="P5" s="1">
        <f t="shared" ca="1" si="0"/>
        <v>1</v>
      </c>
      <c r="Q5" s="1">
        <f t="shared" ca="1" si="0"/>
        <v>0</v>
      </c>
    </row>
    <row r="6" spans="1:17" x14ac:dyDescent="0.3">
      <c r="A6" s="1" t="s">
        <v>26</v>
      </c>
      <c r="B6" s="1" t="s">
        <v>240</v>
      </c>
      <c r="C6" s="1" t="s">
        <v>27</v>
      </c>
      <c r="D6" s="3">
        <f t="shared" ca="1" si="1"/>
        <v>99703975</v>
      </c>
      <c r="E6" s="3">
        <f t="shared" ca="1" si="2"/>
        <v>6586890</v>
      </c>
      <c r="F6" s="3">
        <f t="shared" ca="1" si="3"/>
        <v>376</v>
      </c>
      <c r="G6" s="3">
        <f t="shared" ca="1" si="4"/>
        <v>8997672</v>
      </c>
      <c r="H6" s="3">
        <f t="shared" ca="1" si="5"/>
        <v>398</v>
      </c>
      <c r="I6" s="1" t="s">
        <v>28</v>
      </c>
      <c r="J6" s="3">
        <f t="shared" ca="1" si="6"/>
        <v>596593</v>
      </c>
      <c r="K6" s="3">
        <f t="shared" ca="1" si="7"/>
        <v>391</v>
      </c>
      <c r="L6" s="3">
        <f t="shared" ca="1" si="8"/>
        <v>3</v>
      </c>
      <c r="M6" s="4">
        <v>0.44</v>
      </c>
      <c r="N6" s="5">
        <f t="shared" si="9"/>
        <v>0.56000000000000005</v>
      </c>
      <c r="O6" s="1">
        <f t="shared" ca="1" si="10"/>
        <v>0</v>
      </c>
      <c r="P6" s="1">
        <f t="shared" ca="1" si="0"/>
        <v>0</v>
      </c>
      <c r="Q6" s="1">
        <f t="shared" ca="1" si="0"/>
        <v>0</v>
      </c>
    </row>
    <row r="7" spans="1:17" x14ac:dyDescent="0.3">
      <c r="A7" s="1" t="s">
        <v>29</v>
      </c>
      <c r="B7" s="1" t="s">
        <v>240</v>
      </c>
      <c r="C7" s="1" t="s">
        <v>30</v>
      </c>
      <c r="D7" s="3">
        <f t="shared" ca="1" si="1"/>
        <v>75365532</v>
      </c>
      <c r="E7" s="3">
        <f t="shared" ca="1" si="2"/>
        <v>677409</v>
      </c>
      <c r="F7" s="3">
        <f t="shared" ca="1" si="3"/>
        <v>232</v>
      </c>
      <c r="G7" s="3">
        <f t="shared" ca="1" si="4"/>
        <v>1394839</v>
      </c>
      <c r="H7" s="3">
        <f t="shared" ca="1" si="5"/>
        <v>367</v>
      </c>
      <c r="I7" s="1" t="s">
        <v>28</v>
      </c>
      <c r="J7" s="3">
        <f t="shared" ca="1" si="6"/>
        <v>579623</v>
      </c>
      <c r="K7" s="3">
        <f t="shared" ca="1" si="7"/>
        <v>196</v>
      </c>
      <c r="L7" s="3">
        <f t="shared" ca="1" si="8"/>
        <v>38</v>
      </c>
      <c r="M7" s="4">
        <v>0.34</v>
      </c>
      <c r="N7" s="5">
        <f t="shared" si="9"/>
        <v>0.65999999999999992</v>
      </c>
      <c r="O7" s="1">
        <f t="shared" ca="1" si="10"/>
        <v>1</v>
      </c>
      <c r="P7" s="1">
        <f t="shared" ca="1" si="0"/>
        <v>1</v>
      </c>
      <c r="Q7" s="1">
        <f t="shared" ca="1" si="0"/>
        <v>0</v>
      </c>
    </row>
    <row r="8" spans="1:17" x14ac:dyDescent="0.3">
      <c r="A8" s="1" t="s">
        <v>31</v>
      </c>
      <c r="B8" s="1" t="s">
        <v>240</v>
      </c>
      <c r="C8" s="1" t="s">
        <v>32</v>
      </c>
      <c r="D8" s="3">
        <f t="shared" ca="1" si="1"/>
        <v>33188480</v>
      </c>
      <c r="E8" s="3">
        <f t="shared" ca="1" si="2"/>
        <v>8124126</v>
      </c>
      <c r="F8" s="3">
        <f t="shared" ca="1" si="3"/>
        <v>461</v>
      </c>
      <c r="G8" s="3">
        <f t="shared" ca="1" si="4"/>
        <v>4125481</v>
      </c>
      <c r="H8" s="3">
        <f t="shared" ca="1" si="5"/>
        <v>8</v>
      </c>
      <c r="I8" s="1" t="s">
        <v>33</v>
      </c>
      <c r="J8" s="3">
        <f t="shared" ca="1" si="6"/>
        <v>58315</v>
      </c>
      <c r="K8" s="3">
        <f t="shared" ca="1" si="7"/>
        <v>57</v>
      </c>
      <c r="L8" s="3">
        <f t="shared" ca="1" si="8"/>
        <v>96</v>
      </c>
      <c r="M8" s="4">
        <v>0.32</v>
      </c>
      <c r="N8" s="5">
        <f t="shared" si="9"/>
        <v>0.67999999999999994</v>
      </c>
      <c r="O8" s="1">
        <f t="shared" ca="1" si="10"/>
        <v>1</v>
      </c>
      <c r="P8" s="1">
        <f t="shared" ca="1" si="0"/>
        <v>1</v>
      </c>
      <c r="Q8" s="1">
        <f t="shared" ca="1" si="0"/>
        <v>1</v>
      </c>
    </row>
    <row r="9" spans="1:17" x14ac:dyDescent="0.3">
      <c r="A9" s="1" t="s">
        <v>34</v>
      </c>
      <c r="B9" s="1" t="s">
        <v>240</v>
      </c>
      <c r="C9" s="1" t="s">
        <v>35</v>
      </c>
      <c r="D9" s="3">
        <f t="shared" ca="1" si="1"/>
        <v>91773830</v>
      </c>
      <c r="E9" s="3">
        <f t="shared" ca="1" si="2"/>
        <v>231770</v>
      </c>
      <c r="F9" s="3">
        <f t="shared" ca="1" si="3"/>
        <v>423</v>
      </c>
      <c r="G9" s="3">
        <f t="shared" ca="1" si="4"/>
        <v>8770898</v>
      </c>
      <c r="H9" s="3">
        <f t="shared" ca="1" si="5"/>
        <v>155</v>
      </c>
      <c r="I9" s="1" t="s">
        <v>33</v>
      </c>
      <c r="J9" s="3">
        <f t="shared" ca="1" si="6"/>
        <v>288488</v>
      </c>
      <c r="K9" s="3">
        <f t="shared" ca="1" si="7"/>
        <v>508</v>
      </c>
      <c r="L9" s="3">
        <f t="shared" ca="1" si="8"/>
        <v>29</v>
      </c>
      <c r="M9" s="4">
        <v>0.66</v>
      </c>
      <c r="N9" s="5">
        <f t="shared" si="9"/>
        <v>0.33999999999999997</v>
      </c>
      <c r="O9" s="1">
        <f t="shared" ca="1" si="10"/>
        <v>1</v>
      </c>
      <c r="P9" s="1">
        <f t="shared" ca="1" si="0"/>
        <v>0</v>
      </c>
      <c r="Q9" s="1">
        <f t="shared" ca="1" si="0"/>
        <v>1</v>
      </c>
    </row>
    <row r="10" spans="1:17" x14ac:dyDescent="0.3">
      <c r="A10" s="1" t="s">
        <v>36</v>
      </c>
      <c r="B10" s="1" t="s">
        <v>240</v>
      </c>
      <c r="C10" s="1" t="s">
        <v>37</v>
      </c>
      <c r="D10" s="3">
        <f t="shared" ca="1" si="1"/>
        <v>14318292</v>
      </c>
      <c r="E10" s="3">
        <f t="shared" ca="1" si="2"/>
        <v>703613</v>
      </c>
      <c r="F10" s="3">
        <f t="shared" ca="1" si="3"/>
        <v>255</v>
      </c>
      <c r="G10" s="3">
        <f t="shared" ca="1" si="4"/>
        <v>1020870</v>
      </c>
      <c r="H10" s="3">
        <f t="shared" ca="1" si="5"/>
        <v>42</v>
      </c>
      <c r="I10" s="1" t="s">
        <v>38</v>
      </c>
      <c r="J10" s="3">
        <f t="shared" ca="1" si="6"/>
        <v>64405</v>
      </c>
      <c r="K10" s="3">
        <f t="shared" ca="1" si="7"/>
        <v>92</v>
      </c>
      <c r="L10" s="3">
        <f t="shared" ca="1" si="8"/>
        <v>124</v>
      </c>
      <c r="M10" s="4">
        <v>0.9</v>
      </c>
      <c r="N10" s="5">
        <f t="shared" si="9"/>
        <v>9.9999999999999978E-2</v>
      </c>
      <c r="O10" s="1">
        <f t="shared" ca="1" si="10"/>
        <v>1</v>
      </c>
      <c r="P10" s="1">
        <f t="shared" ca="1" si="0"/>
        <v>0</v>
      </c>
      <c r="Q10" s="1">
        <f t="shared" ca="1" si="0"/>
        <v>1</v>
      </c>
    </row>
    <row r="11" spans="1:17" x14ac:dyDescent="0.3">
      <c r="A11" s="1" t="s">
        <v>39</v>
      </c>
      <c r="B11" s="1" t="s">
        <v>240</v>
      </c>
      <c r="C11" s="1" t="s">
        <v>40</v>
      </c>
      <c r="D11" s="3">
        <f t="shared" ca="1" si="1"/>
        <v>17300075</v>
      </c>
      <c r="E11" s="3">
        <f t="shared" ca="1" si="2"/>
        <v>2426669</v>
      </c>
      <c r="F11" s="3">
        <f t="shared" ca="1" si="3"/>
        <v>143</v>
      </c>
      <c r="G11" s="3">
        <f t="shared" ca="1" si="4"/>
        <v>7512790</v>
      </c>
      <c r="H11" s="3">
        <f t="shared" ca="1" si="5"/>
        <v>101</v>
      </c>
      <c r="I11" s="1" t="s">
        <v>41</v>
      </c>
      <c r="J11" s="3">
        <f t="shared" ca="1" si="6"/>
        <v>243913</v>
      </c>
      <c r="K11" s="3">
        <f t="shared" ca="1" si="7"/>
        <v>362</v>
      </c>
      <c r="L11" s="3">
        <f t="shared" ca="1" si="8"/>
        <v>89</v>
      </c>
      <c r="M11" s="4">
        <v>0.02</v>
      </c>
      <c r="N11" s="5">
        <f t="shared" si="9"/>
        <v>0.98</v>
      </c>
      <c r="O11" s="1">
        <f t="shared" ca="1" si="10"/>
        <v>0</v>
      </c>
      <c r="P11" s="1">
        <f t="shared" ca="1" si="0"/>
        <v>0</v>
      </c>
      <c r="Q11" s="1">
        <f t="shared" ca="1" si="0"/>
        <v>0</v>
      </c>
    </row>
    <row r="12" spans="1:17" x14ac:dyDescent="0.3">
      <c r="A12" s="1" t="s">
        <v>42</v>
      </c>
      <c r="B12" s="1" t="s">
        <v>240</v>
      </c>
      <c r="C12" s="1" t="s">
        <v>43</v>
      </c>
      <c r="D12" s="3">
        <f t="shared" ca="1" si="1"/>
        <v>78646470</v>
      </c>
      <c r="E12" s="3">
        <f t="shared" ca="1" si="2"/>
        <v>1600494</v>
      </c>
      <c r="F12" s="3">
        <f t="shared" ca="1" si="3"/>
        <v>357</v>
      </c>
      <c r="G12" s="3">
        <f t="shared" ca="1" si="4"/>
        <v>4728547</v>
      </c>
      <c r="H12" s="3">
        <f t="shared" ca="1" si="5"/>
        <v>239</v>
      </c>
      <c r="I12" s="1" t="s">
        <v>38</v>
      </c>
      <c r="J12" s="3">
        <f t="shared" ca="1" si="6"/>
        <v>444915</v>
      </c>
      <c r="K12" s="3">
        <f t="shared" ca="1" si="7"/>
        <v>7</v>
      </c>
      <c r="L12" s="3">
        <f t="shared" ca="1" si="8"/>
        <v>28</v>
      </c>
      <c r="M12" s="4">
        <v>0.43</v>
      </c>
      <c r="N12" s="5">
        <f t="shared" si="9"/>
        <v>0.57000000000000006</v>
      </c>
      <c r="O12" s="1">
        <f t="shared" ca="1" si="10"/>
        <v>0</v>
      </c>
      <c r="P12" s="1">
        <f t="shared" ca="1" si="0"/>
        <v>0</v>
      </c>
      <c r="Q12" s="1">
        <f t="shared" ca="1" si="0"/>
        <v>0</v>
      </c>
    </row>
    <row r="13" spans="1:17" x14ac:dyDescent="0.3">
      <c r="A13" s="1" t="s">
        <v>44</v>
      </c>
      <c r="B13" s="1" t="s">
        <v>240</v>
      </c>
      <c r="C13" s="1" t="s">
        <v>45</v>
      </c>
      <c r="D13" s="3">
        <f t="shared" ca="1" si="1"/>
        <v>73534129</v>
      </c>
      <c r="E13" s="3">
        <f t="shared" ca="1" si="2"/>
        <v>5891266</v>
      </c>
      <c r="F13" s="3">
        <f t="shared" ca="1" si="3"/>
        <v>291</v>
      </c>
      <c r="G13" s="3">
        <f t="shared" ca="1" si="4"/>
        <v>77821</v>
      </c>
      <c r="H13" s="3">
        <f t="shared" ca="1" si="5"/>
        <v>51</v>
      </c>
      <c r="I13" s="1" t="s">
        <v>41</v>
      </c>
      <c r="J13" s="3">
        <f t="shared" ca="1" si="6"/>
        <v>521900</v>
      </c>
      <c r="K13" s="3">
        <f t="shared" ca="1" si="7"/>
        <v>375</v>
      </c>
      <c r="L13" s="3">
        <f t="shared" ca="1" si="8"/>
        <v>23</v>
      </c>
      <c r="M13" s="4">
        <v>0.44</v>
      </c>
      <c r="N13" s="5">
        <f t="shared" si="9"/>
        <v>0.56000000000000005</v>
      </c>
      <c r="O13" s="1">
        <f t="shared" ca="1" si="10"/>
        <v>1</v>
      </c>
      <c r="P13" s="1">
        <f t="shared" ca="1" si="0"/>
        <v>1</v>
      </c>
      <c r="Q13" s="1">
        <f t="shared" ca="1" si="0"/>
        <v>0</v>
      </c>
    </row>
    <row r="14" spans="1:17" x14ac:dyDescent="0.3">
      <c r="A14" s="1" t="s">
        <v>46</v>
      </c>
      <c r="B14" s="1" t="s">
        <v>240</v>
      </c>
      <c r="C14" s="1" t="s">
        <v>23</v>
      </c>
      <c r="D14" s="3">
        <f t="shared" ca="1" si="1"/>
        <v>91191963</v>
      </c>
      <c r="E14" s="3">
        <f t="shared" ca="1" si="2"/>
        <v>8309417</v>
      </c>
      <c r="F14" s="3">
        <f t="shared" ca="1" si="3"/>
        <v>321</v>
      </c>
      <c r="G14" s="3">
        <f t="shared" ca="1" si="4"/>
        <v>2826936</v>
      </c>
      <c r="H14" s="3">
        <f t="shared" ca="1" si="5"/>
        <v>250</v>
      </c>
      <c r="I14" s="1" t="s">
        <v>47</v>
      </c>
      <c r="J14" s="3">
        <f t="shared" ca="1" si="6"/>
        <v>545316</v>
      </c>
      <c r="K14" s="3">
        <f t="shared" ca="1" si="7"/>
        <v>483</v>
      </c>
      <c r="L14" s="3">
        <f t="shared" ca="1" si="8"/>
        <v>78</v>
      </c>
      <c r="M14" s="4">
        <v>0.67</v>
      </c>
      <c r="N14" s="5">
        <f t="shared" si="9"/>
        <v>0.32999999999999996</v>
      </c>
      <c r="O14" s="1">
        <f t="shared" ca="1" si="10"/>
        <v>1</v>
      </c>
      <c r="P14" s="1">
        <f t="shared" ca="1" si="0"/>
        <v>1</v>
      </c>
      <c r="Q14" s="1">
        <f t="shared" ca="1" si="0"/>
        <v>0</v>
      </c>
    </row>
    <row r="15" spans="1:17" x14ac:dyDescent="0.3">
      <c r="A15" s="1" t="s">
        <v>48</v>
      </c>
      <c r="B15" s="1" t="s">
        <v>240</v>
      </c>
      <c r="C15" s="1" t="s">
        <v>49</v>
      </c>
      <c r="D15" s="3">
        <f t="shared" ca="1" si="1"/>
        <v>92526198</v>
      </c>
      <c r="E15" s="3">
        <f t="shared" ca="1" si="2"/>
        <v>2828451</v>
      </c>
      <c r="F15" s="3">
        <f t="shared" ca="1" si="3"/>
        <v>346</v>
      </c>
      <c r="G15" s="3">
        <f t="shared" ca="1" si="4"/>
        <v>4659816</v>
      </c>
      <c r="H15" s="3">
        <f t="shared" ca="1" si="5"/>
        <v>411</v>
      </c>
      <c r="I15" s="1" t="s">
        <v>47</v>
      </c>
      <c r="J15" s="3">
        <f t="shared" ca="1" si="6"/>
        <v>481062</v>
      </c>
      <c r="K15" s="3">
        <f t="shared" ca="1" si="7"/>
        <v>61</v>
      </c>
      <c r="L15" s="3">
        <f t="shared" ca="1" si="8"/>
        <v>72</v>
      </c>
      <c r="M15" s="4">
        <v>0.61346153846153895</v>
      </c>
      <c r="N15" s="5">
        <f t="shared" si="9"/>
        <v>0.38653846153846105</v>
      </c>
      <c r="O15" s="1">
        <f t="shared" ca="1" si="10"/>
        <v>0</v>
      </c>
      <c r="P15" s="1">
        <f t="shared" ca="1" si="0"/>
        <v>1</v>
      </c>
      <c r="Q15" s="1">
        <f t="shared" ca="1" si="0"/>
        <v>0</v>
      </c>
    </row>
    <row r="16" spans="1:17" x14ac:dyDescent="0.3">
      <c r="A16" s="1" t="s">
        <v>50</v>
      </c>
      <c r="B16" s="1" t="s">
        <v>240</v>
      </c>
      <c r="C16" s="1" t="s">
        <v>49</v>
      </c>
      <c r="D16" s="3">
        <f t="shared" ca="1" si="1"/>
        <v>63544101</v>
      </c>
      <c r="E16" s="3">
        <f t="shared" ca="1" si="2"/>
        <v>8275162</v>
      </c>
      <c r="F16" s="3">
        <f t="shared" ca="1" si="3"/>
        <v>304</v>
      </c>
      <c r="G16" s="3">
        <f t="shared" ca="1" si="4"/>
        <v>704658</v>
      </c>
      <c r="H16" s="3">
        <f t="shared" ca="1" si="5"/>
        <v>187</v>
      </c>
      <c r="I16" s="1" t="s">
        <v>18</v>
      </c>
      <c r="J16" s="3">
        <f t="shared" ca="1" si="6"/>
        <v>586626</v>
      </c>
      <c r="K16" s="3">
        <f t="shared" ca="1" si="7"/>
        <v>60</v>
      </c>
      <c r="L16" s="3">
        <f t="shared" ca="1" si="8"/>
        <v>102</v>
      </c>
      <c r="M16" s="4">
        <v>0.64241758241758196</v>
      </c>
      <c r="N16" s="5">
        <f t="shared" si="9"/>
        <v>0.35758241758241804</v>
      </c>
      <c r="O16" s="1">
        <f t="shared" ca="1" si="10"/>
        <v>0</v>
      </c>
      <c r="P16" s="1">
        <f t="shared" ca="1" si="0"/>
        <v>0</v>
      </c>
      <c r="Q16" s="1">
        <f t="shared" ca="1" si="0"/>
        <v>1</v>
      </c>
    </row>
    <row r="17" spans="1:17" x14ac:dyDescent="0.3">
      <c r="A17" s="1" t="s">
        <v>51</v>
      </c>
      <c r="B17" s="1" t="s">
        <v>240</v>
      </c>
      <c r="C17" s="1" t="s">
        <v>52</v>
      </c>
      <c r="D17" s="3">
        <f t="shared" ca="1" si="1"/>
        <v>85976844</v>
      </c>
      <c r="E17" s="3">
        <f t="shared" ca="1" si="2"/>
        <v>8815930</v>
      </c>
      <c r="F17" s="3">
        <f t="shared" ca="1" si="3"/>
        <v>304</v>
      </c>
      <c r="G17" s="3">
        <f t="shared" ca="1" si="4"/>
        <v>1904061</v>
      </c>
      <c r="H17" s="3">
        <f t="shared" ca="1" si="5"/>
        <v>229</v>
      </c>
      <c r="I17" s="1" t="s">
        <v>21</v>
      </c>
      <c r="J17" s="3">
        <f t="shared" ca="1" si="6"/>
        <v>386588</v>
      </c>
      <c r="K17" s="3">
        <f t="shared" ca="1" si="7"/>
        <v>286</v>
      </c>
      <c r="L17" s="3">
        <f t="shared" ca="1" si="8"/>
        <v>16</v>
      </c>
      <c r="M17" s="4">
        <v>0.67137362637362596</v>
      </c>
      <c r="N17" s="5">
        <f t="shared" si="9"/>
        <v>0.32862637362637404</v>
      </c>
      <c r="O17" s="1">
        <f t="shared" ca="1" si="10"/>
        <v>1</v>
      </c>
      <c r="P17" s="1">
        <f t="shared" ca="1" si="0"/>
        <v>1</v>
      </c>
      <c r="Q17" s="1">
        <f t="shared" ca="1" si="0"/>
        <v>0</v>
      </c>
    </row>
    <row r="18" spans="1:17" x14ac:dyDescent="0.3">
      <c r="A18" s="1" t="s">
        <v>53</v>
      </c>
      <c r="B18" s="1" t="s">
        <v>240</v>
      </c>
      <c r="C18" s="1" t="s">
        <v>54</v>
      </c>
      <c r="D18" s="3">
        <f t="shared" ca="1" si="1"/>
        <v>53766247</v>
      </c>
      <c r="E18" s="3">
        <f t="shared" ca="1" si="2"/>
        <v>1948100</v>
      </c>
      <c r="F18" s="3">
        <f t="shared" ca="1" si="3"/>
        <v>237</v>
      </c>
      <c r="G18" s="3">
        <f t="shared" ca="1" si="4"/>
        <v>1122594</v>
      </c>
      <c r="H18" s="3">
        <f t="shared" ca="1" si="5"/>
        <v>452</v>
      </c>
      <c r="I18" s="1" t="s">
        <v>21</v>
      </c>
      <c r="J18" s="3">
        <f t="shared" ca="1" si="6"/>
        <v>303285</v>
      </c>
      <c r="K18" s="3">
        <f t="shared" ca="1" si="7"/>
        <v>295</v>
      </c>
      <c r="L18" s="3">
        <f t="shared" ca="1" si="8"/>
        <v>8</v>
      </c>
      <c r="M18" s="4">
        <v>0.70032967032966997</v>
      </c>
      <c r="N18" s="5">
        <f t="shared" si="9"/>
        <v>0.29967032967033003</v>
      </c>
      <c r="O18" s="1">
        <f t="shared" ca="1" si="10"/>
        <v>1</v>
      </c>
      <c r="P18" s="1">
        <f t="shared" ca="1" si="10"/>
        <v>1</v>
      </c>
      <c r="Q18" s="1">
        <f t="shared" ca="1" si="10"/>
        <v>1</v>
      </c>
    </row>
    <row r="19" spans="1:17" x14ac:dyDescent="0.3">
      <c r="A19" s="1" t="s">
        <v>55</v>
      </c>
      <c r="B19" s="1" t="s">
        <v>240</v>
      </c>
      <c r="C19" s="1" t="s">
        <v>54</v>
      </c>
      <c r="D19" s="3">
        <f t="shared" ca="1" si="1"/>
        <v>30224378</v>
      </c>
      <c r="E19" s="3">
        <f t="shared" ca="1" si="2"/>
        <v>671298</v>
      </c>
      <c r="F19" s="3">
        <f t="shared" ca="1" si="3"/>
        <v>189</v>
      </c>
      <c r="G19" s="3">
        <f t="shared" ca="1" si="4"/>
        <v>7618969</v>
      </c>
      <c r="H19" s="3">
        <f t="shared" ca="1" si="5"/>
        <v>7</v>
      </c>
      <c r="I19" s="1" t="s">
        <v>18</v>
      </c>
      <c r="J19" s="3">
        <f t="shared" ca="1" si="6"/>
        <v>535232</v>
      </c>
      <c r="K19" s="3">
        <f t="shared" ca="1" si="7"/>
        <v>49</v>
      </c>
      <c r="L19" s="3">
        <f t="shared" ca="1" si="8"/>
        <v>74</v>
      </c>
      <c r="M19" s="4">
        <v>0.72928571428571398</v>
      </c>
      <c r="N19" s="5">
        <f t="shared" si="9"/>
        <v>0.27071428571428602</v>
      </c>
      <c r="O19" s="1">
        <f t="shared" ca="1" si="10"/>
        <v>0</v>
      </c>
      <c r="P19" s="1">
        <f t="shared" ca="1" si="10"/>
        <v>1</v>
      </c>
      <c r="Q19" s="1">
        <f t="shared" ca="1" si="10"/>
        <v>0</v>
      </c>
    </row>
    <row r="20" spans="1:17" x14ac:dyDescent="0.3">
      <c r="A20" s="1" t="s">
        <v>56</v>
      </c>
      <c r="B20" s="1" t="s">
        <v>240</v>
      </c>
      <c r="C20" s="1" t="s">
        <v>20</v>
      </c>
      <c r="D20" s="3">
        <f t="shared" ca="1" si="1"/>
        <v>53518777</v>
      </c>
      <c r="E20" s="3">
        <f t="shared" ca="1" si="2"/>
        <v>7085626</v>
      </c>
      <c r="F20" s="3">
        <f t="shared" ca="1" si="3"/>
        <v>104</v>
      </c>
      <c r="G20" s="3">
        <f t="shared" ca="1" si="4"/>
        <v>1636828</v>
      </c>
      <c r="H20" s="3">
        <f t="shared" ca="1" si="5"/>
        <v>79</v>
      </c>
      <c r="I20" s="1" t="s">
        <v>28</v>
      </c>
      <c r="J20" s="3">
        <f t="shared" ca="1" si="6"/>
        <v>54968</v>
      </c>
      <c r="K20" s="3">
        <f t="shared" ca="1" si="7"/>
        <v>112</v>
      </c>
      <c r="L20" s="3">
        <f t="shared" ca="1" si="8"/>
        <v>122</v>
      </c>
      <c r="M20" s="4">
        <v>0.75824175824175799</v>
      </c>
      <c r="N20" s="5">
        <f t="shared" si="9"/>
        <v>0.24175824175824201</v>
      </c>
      <c r="O20" s="1">
        <f t="shared" ca="1" si="10"/>
        <v>1</v>
      </c>
      <c r="P20" s="1">
        <f t="shared" ca="1" si="10"/>
        <v>1</v>
      </c>
      <c r="Q20" s="1">
        <f t="shared" ca="1" si="10"/>
        <v>1</v>
      </c>
    </row>
    <row r="21" spans="1:17" x14ac:dyDescent="0.3">
      <c r="A21" s="1" t="s">
        <v>57</v>
      </c>
      <c r="B21" s="1" t="s">
        <v>240</v>
      </c>
      <c r="C21" s="1" t="s">
        <v>20</v>
      </c>
      <c r="D21" s="3">
        <f t="shared" ca="1" si="1"/>
        <v>58107416</v>
      </c>
      <c r="E21" s="3">
        <f t="shared" ca="1" si="2"/>
        <v>3413254</v>
      </c>
      <c r="F21" s="3">
        <f t="shared" ca="1" si="3"/>
        <v>170</v>
      </c>
      <c r="G21" s="3">
        <f t="shared" ca="1" si="4"/>
        <v>6297734</v>
      </c>
      <c r="H21" s="3">
        <f t="shared" ca="1" si="5"/>
        <v>73</v>
      </c>
      <c r="I21" s="1" t="s">
        <v>28</v>
      </c>
      <c r="J21" s="3">
        <f t="shared" ca="1" si="6"/>
        <v>93966</v>
      </c>
      <c r="K21" s="3">
        <f t="shared" ca="1" si="7"/>
        <v>133</v>
      </c>
      <c r="L21" s="3">
        <f t="shared" ca="1" si="8"/>
        <v>100</v>
      </c>
      <c r="M21" s="4">
        <v>0.787197802197802</v>
      </c>
      <c r="N21" s="5">
        <f t="shared" si="9"/>
        <v>0.212802197802198</v>
      </c>
      <c r="O21" s="1">
        <f t="shared" ca="1" si="10"/>
        <v>1</v>
      </c>
      <c r="P21" s="1">
        <f t="shared" ca="1" si="10"/>
        <v>0</v>
      </c>
      <c r="Q21" s="1">
        <f t="shared" ca="1" si="10"/>
        <v>0</v>
      </c>
    </row>
    <row r="22" spans="1:17" x14ac:dyDescent="0.3">
      <c r="A22" s="1" t="s">
        <v>58</v>
      </c>
      <c r="B22" s="1" t="s">
        <v>240</v>
      </c>
      <c r="C22" s="1" t="s">
        <v>20</v>
      </c>
      <c r="D22" s="3">
        <f t="shared" ca="1" si="1"/>
        <v>20674397</v>
      </c>
      <c r="E22" s="3">
        <f t="shared" ca="1" si="2"/>
        <v>7590423</v>
      </c>
      <c r="F22" s="3">
        <f t="shared" ca="1" si="3"/>
        <v>176</v>
      </c>
      <c r="G22" s="3">
        <f t="shared" ca="1" si="4"/>
        <v>6326792</v>
      </c>
      <c r="H22" s="3">
        <f t="shared" ca="1" si="5"/>
        <v>243</v>
      </c>
      <c r="I22" s="1" t="s">
        <v>33</v>
      </c>
      <c r="J22" s="3">
        <f t="shared" ca="1" si="6"/>
        <v>223992</v>
      </c>
      <c r="K22" s="3">
        <f t="shared" ca="1" si="7"/>
        <v>18</v>
      </c>
      <c r="L22" s="3">
        <f t="shared" ca="1" si="8"/>
        <v>69</v>
      </c>
      <c r="M22" s="4">
        <v>0.81615384615384601</v>
      </c>
      <c r="N22" s="5">
        <f t="shared" si="9"/>
        <v>0.18384615384615399</v>
      </c>
      <c r="O22" s="1">
        <f t="shared" ca="1" si="10"/>
        <v>1</v>
      </c>
      <c r="P22" s="1">
        <f t="shared" ca="1" si="10"/>
        <v>1</v>
      </c>
      <c r="Q22" s="1">
        <f t="shared" ca="1" si="10"/>
        <v>0</v>
      </c>
    </row>
    <row r="23" spans="1:17" x14ac:dyDescent="0.3">
      <c r="A23" s="1" t="s">
        <v>59</v>
      </c>
      <c r="B23" s="1" t="s">
        <v>240</v>
      </c>
      <c r="C23" s="1" t="s">
        <v>60</v>
      </c>
      <c r="D23" s="3">
        <f t="shared" ca="1" si="1"/>
        <v>68055715</v>
      </c>
      <c r="E23" s="3">
        <f t="shared" ca="1" si="2"/>
        <v>3215852</v>
      </c>
      <c r="F23" s="3">
        <f t="shared" ca="1" si="3"/>
        <v>426</v>
      </c>
      <c r="G23" s="3">
        <f t="shared" ca="1" si="4"/>
        <v>8215961</v>
      </c>
      <c r="H23" s="3">
        <f t="shared" ca="1" si="5"/>
        <v>365</v>
      </c>
      <c r="I23" s="1" t="s">
        <v>33</v>
      </c>
      <c r="J23" s="3">
        <f t="shared" ca="1" si="6"/>
        <v>44336</v>
      </c>
      <c r="K23" s="3">
        <f t="shared" ca="1" si="7"/>
        <v>434</v>
      </c>
      <c r="L23" s="3">
        <f t="shared" ca="1" si="8"/>
        <v>37</v>
      </c>
      <c r="M23" s="4">
        <v>0.84510989010989002</v>
      </c>
      <c r="N23" s="5">
        <f t="shared" si="9"/>
        <v>0.15489010989010998</v>
      </c>
      <c r="O23" s="1">
        <f t="shared" ca="1" si="10"/>
        <v>0</v>
      </c>
      <c r="P23" s="1">
        <f t="shared" ca="1" si="10"/>
        <v>0</v>
      </c>
      <c r="Q23" s="1">
        <f t="shared" ca="1" si="10"/>
        <v>0</v>
      </c>
    </row>
    <row r="24" spans="1:17" x14ac:dyDescent="0.3">
      <c r="A24" s="1" t="s">
        <v>61</v>
      </c>
      <c r="B24" s="1" t="s">
        <v>240</v>
      </c>
      <c r="C24" s="1" t="s">
        <v>17</v>
      </c>
      <c r="D24" s="3">
        <f t="shared" ca="1" si="1"/>
        <v>66271375</v>
      </c>
      <c r="E24" s="3">
        <f t="shared" ca="1" si="2"/>
        <v>3548504</v>
      </c>
      <c r="F24" s="3">
        <f t="shared" ca="1" si="3"/>
        <v>385</v>
      </c>
      <c r="G24" s="3">
        <f t="shared" ca="1" si="4"/>
        <v>5195855</v>
      </c>
      <c r="H24" s="3">
        <f t="shared" ca="1" si="5"/>
        <v>330</v>
      </c>
      <c r="I24" s="1" t="s">
        <v>38</v>
      </c>
      <c r="J24" s="3">
        <f t="shared" ca="1" si="6"/>
        <v>382983</v>
      </c>
      <c r="K24" s="3">
        <f t="shared" ca="1" si="7"/>
        <v>360</v>
      </c>
      <c r="L24" s="3">
        <f t="shared" ca="1" si="8"/>
        <v>60</v>
      </c>
      <c r="M24" s="4">
        <v>0.12</v>
      </c>
      <c r="N24" s="5">
        <f t="shared" si="9"/>
        <v>0.88</v>
      </c>
      <c r="O24" s="1">
        <f t="shared" ca="1" si="10"/>
        <v>0</v>
      </c>
      <c r="P24" s="1">
        <f t="shared" ca="1" si="10"/>
        <v>1</v>
      </c>
      <c r="Q24" s="1">
        <f t="shared" ca="1" si="10"/>
        <v>1</v>
      </c>
    </row>
    <row r="25" spans="1:17" x14ac:dyDescent="0.3">
      <c r="A25" s="1" t="s">
        <v>62</v>
      </c>
      <c r="B25" s="1" t="s">
        <v>240</v>
      </c>
      <c r="C25" s="1" t="s">
        <v>20</v>
      </c>
      <c r="D25" s="3">
        <f t="shared" ca="1" si="1"/>
        <v>43444422</v>
      </c>
      <c r="E25" s="3">
        <f t="shared" ca="1" si="2"/>
        <v>5617225</v>
      </c>
      <c r="F25" s="3">
        <f t="shared" ca="1" si="3"/>
        <v>135</v>
      </c>
      <c r="G25" s="3">
        <f t="shared" ca="1" si="4"/>
        <v>2908010</v>
      </c>
      <c r="H25" s="3">
        <f t="shared" ca="1" si="5"/>
        <v>207</v>
      </c>
      <c r="I25" s="1" t="s">
        <v>41</v>
      </c>
      <c r="J25" s="3">
        <f t="shared" ca="1" si="6"/>
        <v>482278</v>
      </c>
      <c r="K25" s="3">
        <f t="shared" ca="1" si="7"/>
        <v>131</v>
      </c>
      <c r="L25" s="3">
        <f t="shared" ca="1" si="8"/>
        <v>15</v>
      </c>
      <c r="M25" s="4">
        <v>0.01</v>
      </c>
      <c r="N25" s="5">
        <f t="shared" si="9"/>
        <v>0.99</v>
      </c>
      <c r="O25" s="1">
        <f t="shared" ca="1" si="10"/>
        <v>0</v>
      </c>
      <c r="P25" s="1">
        <f t="shared" ca="1" si="10"/>
        <v>0</v>
      </c>
      <c r="Q25" s="1">
        <f t="shared" ca="1" si="10"/>
        <v>1</v>
      </c>
    </row>
    <row r="26" spans="1:17" x14ac:dyDescent="0.3">
      <c r="A26" s="1" t="s">
        <v>63</v>
      </c>
      <c r="B26" s="1" t="s">
        <v>240</v>
      </c>
      <c r="C26" s="1" t="s">
        <v>23</v>
      </c>
      <c r="D26" s="3">
        <f t="shared" ca="1" si="1"/>
        <v>83953975</v>
      </c>
      <c r="E26" s="3">
        <f t="shared" ca="1" si="2"/>
        <v>2699590</v>
      </c>
      <c r="F26" s="3">
        <f t="shared" ca="1" si="3"/>
        <v>126</v>
      </c>
      <c r="G26" s="3">
        <f t="shared" ca="1" si="4"/>
        <v>4177015</v>
      </c>
      <c r="H26" s="3">
        <f t="shared" ca="1" si="5"/>
        <v>484</v>
      </c>
      <c r="I26" s="1" t="s">
        <v>38</v>
      </c>
      <c r="J26" s="3">
        <f t="shared" ca="1" si="6"/>
        <v>222618</v>
      </c>
      <c r="K26" s="3">
        <f t="shared" ca="1" si="7"/>
        <v>270</v>
      </c>
      <c r="L26" s="3">
        <f t="shared" ca="1" si="8"/>
        <v>77</v>
      </c>
      <c r="M26" s="4">
        <v>0.23</v>
      </c>
      <c r="N26" s="5">
        <f t="shared" si="9"/>
        <v>0.77</v>
      </c>
      <c r="O26" s="1">
        <f t="shared" ca="1" si="10"/>
        <v>1</v>
      </c>
      <c r="P26" s="1">
        <f t="shared" ca="1" si="10"/>
        <v>1</v>
      </c>
      <c r="Q26" s="1">
        <f t="shared" ca="1" si="10"/>
        <v>0</v>
      </c>
    </row>
    <row r="27" spans="1:17" x14ac:dyDescent="0.3">
      <c r="A27" s="1" t="s">
        <v>64</v>
      </c>
      <c r="B27" s="1" t="s">
        <v>240</v>
      </c>
      <c r="C27" s="1" t="s">
        <v>25</v>
      </c>
      <c r="D27" s="3">
        <f t="shared" ca="1" si="1"/>
        <v>50794698</v>
      </c>
      <c r="E27" s="3">
        <f t="shared" ca="1" si="2"/>
        <v>2367506</v>
      </c>
      <c r="F27" s="3">
        <f t="shared" ca="1" si="3"/>
        <v>259</v>
      </c>
      <c r="G27" s="3">
        <f t="shared" ca="1" si="4"/>
        <v>8070108</v>
      </c>
      <c r="H27" s="3">
        <f t="shared" ca="1" si="5"/>
        <v>2</v>
      </c>
      <c r="I27" s="1" t="s">
        <v>41</v>
      </c>
      <c r="J27" s="3">
        <f t="shared" ca="1" si="6"/>
        <v>319330</v>
      </c>
      <c r="K27" s="3">
        <f t="shared" ca="1" si="7"/>
        <v>473</v>
      </c>
      <c r="L27" s="3">
        <f t="shared" ca="1" si="8"/>
        <v>50</v>
      </c>
      <c r="M27" s="4">
        <v>0.76</v>
      </c>
      <c r="N27" s="5">
        <f t="shared" si="9"/>
        <v>0.24</v>
      </c>
      <c r="O27" s="1">
        <f t="shared" ca="1" si="10"/>
        <v>0</v>
      </c>
      <c r="P27" s="1">
        <f t="shared" ca="1" si="10"/>
        <v>0</v>
      </c>
      <c r="Q27" s="1">
        <f t="shared" ca="1" si="10"/>
        <v>1</v>
      </c>
    </row>
    <row r="28" spans="1:17" x14ac:dyDescent="0.3">
      <c r="A28" s="1" t="s">
        <v>65</v>
      </c>
      <c r="B28" s="1" t="s">
        <v>240</v>
      </c>
      <c r="C28" s="1" t="s">
        <v>27</v>
      </c>
      <c r="D28" s="3">
        <f t="shared" ca="1" si="1"/>
        <v>60694965</v>
      </c>
      <c r="E28" s="3">
        <f t="shared" ca="1" si="2"/>
        <v>515296</v>
      </c>
      <c r="F28" s="3">
        <f t="shared" ca="1" si="3"/>
        <v>395</v>
      </c>
      <c r="G28" s="3">
        <f t="shared" ca="1" si="4"/>
        <v>1750571</v>
      </c>
      <c r="H28" s="3">
        <f t="shared" ca="1" si="5"/>
        <v>447</v>
      </c>
      <c r="I28" s="1" t="s">
        <v>47</v>
      </c>
      <c r="J28" s="3">
        <f t="shared" ca="1" si="6"/>
        <v>257025</v>
      </c>
      <c r="K28" s="3">
        <f t="shared" ca="1" si="7"/>
        <v>434</v>
      </c>
      <c r="L28" s="3">
        <f t="shared" ca="1" si="8"/>
        <v>31</v>
      </c>
      <c r="M28" s="4">
        <v>0.44</v>
      </c>
      <c r="N28" s="5">
        <f t="shared" si="9"/>
        <v>0.56000000000000005</v>
      </c>
      <c r="O28" s="1">
        <f t="shared" ca="1" si="10"/>
        <v>1</v>
      </c>
      <c r="P28" s="1">
        <f t="shared" ca="1" si="10"/>
        <v>0</v>
      </c>
      <c r="Q28" s="1">
        <f t="shared" ca="1" si="10"/>
        <v>1</v>
      </c>
    </row>
    <row r="29" spans="1:17" x14ac:dyDescent="0.3">
      <c r="A29" s="1" t="s">
        <v>66</v>
      </c>
      <c r="B29" s="1" t="s">
        <v>240</v>
      </c>
      <c r="C29" s="1" t="s">
        <v>30</v>
      </c>
      <c r="D29" s="3">
        <f t="shared" ca="1" si="1"/>
        <v>48866505</v>
      </c>
      <c r="E29" s="3">
        <f t="shared" ca="1" si="2"/>
        <v>6567364</v>
      </c>
      <c r="F29" s="3">
        <f t="shared" ca="1" si="3"/>
        <v>102</v>
      </c>
      <c r="G29" s="3">
        <f t="shared" ca="1" si="4"/>
        <v>9168205</v>
      </c>
      <c r="H29" s="3">
        <f t="shared" ca="1" si="5"/>
        <v>356</v>
      </c>
      <c r="I29" s="1" t="s">
        <v>47</v>
      </c>
      <c r="J29" s="3">
        <f t="shared" ca="1" si="6"/>
        <v>575432</v>
      </c>
      <c r="K29" s="3">
        <f t="shared" ca="1" si="7"/>
        <v>250</v>
      </c>
      <c r="L29" s="3">
        <f t="shared" ca="1" si="8"/>
        <v>124</v>
      </c>
      <c r="M29" s="4">
        <v>0.34</v>
      </c>
      <c r="N29" s="5">
        <f t="shared" si="9"/>
        <v>0.65999999999999992</v>
      </c>
      <c r="O29" s="1">
        <f t="shared" ca="1" si="10"/>
        <v>0</v>
      </c>
      <c r="P29" s="1">
        <f t="shared" ca="1" si="10"/>
        <v>0</v>
      </c>
      <c r="Q29" s="1">
        <f t="shared" ca="1" si="10"/>
        <v>1</v>
      </c>
    </row>
    <row r="30" spans="1:17" x14ac:dyDescent="0.3">
      <c r="A30" s="1" t="s">
        <v>67</v>
      </c>
      <c r="B30" s="1" t="s">
        <v>240</v>
      </c>
      <c r="C30" s="1" t="s">
        <v>32</v>
      </c>
      <c r="D30" s="3">
        <f t="shared" ca="1" si="1"/>
        <v>48469296</v>
      </c>
      <c r="E30" s="3">
        <f t="shared" ca="1" si="2"/>
        <v>3195760</v>
      </c>
      <c r="F30" s="3">
        <f t="shared" ca="1" si="3"/>
        <v>298</v>
      </c>
      <c r="G30" s="3">
        <f t="shared" ca="1" si="4"/>
        <v>1579738</v>
      </c>
      <c r="H30" s="3">
        <f t="shared" ca="1" si="5"/>
        <v>139</v>
      </c>
      <c r="I30" s="1" t="s">
        <v>18</v>
      </c>
      <c r="J30" s="3">
        <f t="shared" ca="1" si="6"/>
        <v>237949</v>
      </c>
      <c r="K30" s="3">
        <f t="shared" ca="1" si="7"/>
        <v>9</v>
      </c>
      <c r="L30" s="3">
        <f t="shared" ca="1" si="8"/>
        <v>92</v>
      </c>
      <c r="M30" s="4">
        <v>0.32</v>
      </c>
      <c r="N30" s="5">
        <f t="shared" si="9"/>
        <v>0.67999999999999994</v>
      </c>
      <c r="O30" s="1">
        <f t="shared" ca="1" si="10"/>
        <v>0</v>
      </c>
      <c r="P30" s="1">
        <f t="shared" ca="1" si="10"/>
        <v>1</v>
      </c>
      <c r="Q30" s="1">
        <f t="shared" ca="1" si="10"/>
        <v>1</v>
      </c>
    </row>
    <row r="31" spans="1:17" x14ac:dyDescent="0.3">
      <c r="A31" s="1" t="s">
        <v>68</v>
      </c>
      <c r="B31" s="1" t="s">
        <v>240</v>
      </c>
      <c r="C31" s="1" t="s">
        <v>35</v>
      </c>
      <c r="D31" s="3">
        <f t="shared" ca="1" si="1"/>
        <v>43540185</v>
      </c>
      <c r="E31" s="3">
        <f t="shared" ca="1" si="2"/>
        <v>5214640</v>
      </c>
      <c r="F31" s="3">
        <f t="shared" ca="1" si="3"/>
        <v>409</v>
      </c>
      <c r="G31" s="3">
        <f t="shared" ca="1" si="4"/>
        <v>6436582</v>
      </c>
      <c r="H31" s="3">
        <f t="shared" ca="1" si="5"/>
        <v>272</v>
      </c>
      <c r="I31" s="1" t="s">
        <v>21</v>
      </c>
      <c r="J31" s="3">
        <f t="shared" ca="1" si="6"/>
        <v>76484</v>
      </c>
      <c r="K31" s="3">
        <f t="shared" ca="1" si="7"/>
        <v>349</v>
      </c>
      <c r="L31" s="3">
        <f t="shared" ca="1" si="8"/>
        <v>78</v>
      </c>
      <c r="M31" s="4">
        <v>0.66</v>
      </c>
      <c r="N31" s="5">
        <f t="shared" si="9"/>
        <v>0.33999999999999997</v>
      </c>
      <c r="O31" s="1">
        <f t="shared" ca="1" si="10"/>
        <v>0</v>
      </c>
      <c r="P31" s="1">
        <f t="shared" ca="1" si="10"/>
        <v>1</v>
      </c>
      <c r="Q31" s="1">
        <f t="shared" ca="1" si="10"/>
        <v>0</v>
      </c>
    </row>
    <row r="32" spans="1:17" x14ac:dyDescent="0.3">
      <c r="A32" s="1" t="s">
        <v>69</v>
      </c>
      <c r="B32" s="1" t="s">
        <v>240</v>
      </c>
      <c r="C32" s="1" t="s">
        <v>37</v>
      </c>
      <c r="D32" s="3">
        <f t="shared" ca="1" si="1"/>
        <v>47757561</v>
      </c>
      <c r="E32" s="3">
        <f t="shared" ca="1" si="2"/>
        <v>889294</v>
      </c>
      <c r="F32" s="3">
        <f t="shared" ca="1" si="3"/>
        <v>371</v>
      </c>
      <c r="G32" s="3">
        <f t="shared" ca="1" si="4"/>
        <v>2197986</v>
      </c>
      <c r="H32" s="3">
        <f t="shared" ca="1" si="5"/>
        <v>455</v>
      </c>
      <c r="I32" s="1" t="s">
        <v>21</v>
      </c>
      <c r="J32" s="3">
        <f t="shared" ca="1" si="6"/>
        <v>117061</v>
      </c>
      <c r="K32" s="3">
        <f t="shared" ca="1" si="7"/>
        <v>16</v>
      </c>
      <c r="L32" s="3">
        <f t="shared" ca="1" si="8"/>
        <v>118</v>
      </c>
      <c r="M32" s="4">
        <v>0.9</v>
      </c>
      <c r="N32" s="5">
        <f t="shared" si="9"/>
        <v>9.9999999999999978E-2</v>
      </c>
      <c r="O32" s="1">
        <f t="shared" ca="1" si="10"/>
        <v>0</v>
      </c>
      <c r="P32" s="1">
        <f t="shared" ca="1" si="10"/>
        <v>0</v>
      </c>
      <c r="Q32" s="1">
        <f t="shared" ca="1" si="10"/>
        <v>1</v>
      </c>
    </row>
    <row r="33" spans="1:17" x14ac:dyDescent="0.3">
      <c r="A33" s="1" t="s">
        <v>70</v>
      </c>
      <c r="B33" s="1" t="s">
        <v>240</v>
      </c>
      <c r="C33" s="1" t="s">
        <v>40</v>
      </c>
      <c r="D33" s="3">
        <f t="shared" ca="1" si="1"/>
        <v>65974019</v>
      </c>
      <c r="E33" s="3">
        <f t="shared" ca="1" si="2"/>
        <v>6610673</v>
      </c>
      <c r="F33" s="3">
        <f t="shared" ca="1" si="3"/>
        <v>170</v>
      </c>
      <c r="G33" s="3">
        <f t="shared" ca="1" si="4"/>
        <v>9245749</v>
      </c>
      <c r="H33" s="3">
        <f t="shared" ca="1" si="5"/>
        <v>264</v>
      </c>
      <c r="I33" s="1" t="s">
        <v>18</v>
      </c>
      <c r="J33" s="3">
        <f t="shared" ca="1" si="6"/>
        <v>547904</v>
      </c>
      <c r="K33" s="3">
        <f t="shared" ca="1" si="7"/>
        <v>17</v>
      </c>
      <c r="L33" s="3">
        <f t="shared" ca="1" si="8"/>
        <v>105</v>
      </c>
      <c r="M33" s="4">
        <v>0.02</v>
      </c>
      <c r="N33" s="5">
        <f t="shared" si="9"/>
        <v>0.98</v>
      </c>
      <c r="O33" s="1">
        <f t="shared" ca="1" si="10"/>
        <v>1</v>
      </c>
      <c r="P33" s="1">
        <f t="shared" ca="1" si="10"/>
        <v>1</v>
      </c>
      <c r="Q33" s="1">
        <f t="shared" ca="1" si="10"/>
        <v>1</v>
      </c>
    </row>
    <row r="34" spans="1:17" x14ac:dyDescent="0.3">
      <c r="A34" s="1" t="s">
        <v>71</v>
      </c>
      <c r="B34" s="1" t="s">
        <v>240</v>
      </c>
      <c r="C34" s="1" t="s">
        <v>43</v>
      </c>
      <c r="D34" s="3">
        <f t="shared" ca="1" si="1"/>
        <v>64795498</v>
      </c>
      <c r="E34" s="3">
        <f t="shared" ca="1" si="2"/>
        <v>2097156</v>
      </c>
      <c r="F34" s="3">
        <f t="shared" ca="1" si="3"/>
        <v>328</v>
      </c>
      <c r="G34" s="3">
        <f t="shared" ca="1" si="4"/>
        <v>2602254</v>
      </c>
      <c r="H34" s="3">
        <f t="shared" ca="1" si="5"/>
        <v>347</v>
      </c>
      <c r="I34" s="1" t="s">
        <v>28</v>
      </c>
      <c r="J34" s="3">
        <f t="shared" ca="1" si="6"/>
        <v>197503</v>
      </c>
      <c r="K34" s="3">
        <f t="shared" ca="1" si="7"/>
        <v>89</v>
      </c>
      <c r="L34" s="3">
        <f t="shared" ca="1" si="8"/>
        <v>41</v>
      </c>
      <c r="M34" s="4">
        <v>0.43</v>
      </c>
      <c r="N34" s="5">
        <f t="shared" si="9"/>
        <v>0.57000000000000006</v>
      </c>
      <c r="O34" s="1">
        <f t="shared" ca="1" si="10"/>
        <v>1</v>
      </c>
      <c r="P34" s="1">
        <f t="shared" ca="1" si="10"/>
        <v>1</v>
      </c>
      <c r="Q34" s="1">
        <f t="shared" ca="1" si="10"/>
        <v>0</v>
      </c>
    </row>
    <row r="35" spans="1:17" x14ac:dyDescent="0.3">
      <c r="A35" s="1" t="s">
        <v>72</v>
      </c>
      <c r="B35" s="1" t="s">
        <v>240</v>
      </c>
      <c r="C35" s="1" t="s">
        <v>45</v>
      </c>
      <c r="D35" s="3">
        <f t="shared" ca="1" si="1"/>
        <v>93499746</v>
      </c>
      <c r="E35" s="3">
        <f t="shared" ca="1" si="2"/>
        <v>8070862</v>
      </c>
      <c r="F35" s="3">
        <f t="shared" ca="1" si="3"/>
        <v>300</v>
      </c>
      <c r="G35" s="3">
        <f t="shared" ca="1" si="4"/>
        <v>8870833</v>
      </c>
      <c r="H35" s="3">
        <f t="shared" ca="1" si="5"/>
        <v>493</v>
      </c>
      <c r="I35" s="1" t="s">
        <v>28</v>
      </c>
      <c r="J35" s="3">
        <f t="shared" ca="1" si="6"/>
        <v>523972</v>
      </c>
      <c r="K35" s="3">
        <f t="shared" ca="1" si="7"/>
        <v>377</v>
      </c>
      <c r="L35" s="3">
        <f t="shared" ca="1" si="8"/>
        <v>1</v>
      </c>
      <c r="M35" s="4">
        <v>0.44</v>
      </c>
      <c r="N35" s="5">
        <f t="shared" si="9"/>
        <v>0.56000000000000005</v>
      </c>
      <c r="O35" s="1">
        <f t="shared" ca="1" si="10"/>
        <v>0</v>
      </c>
      <c r="P35" s="1">
        <f t="shared" ca="1" si="10"/>
        <v>0</v>
      </c>
      <c r="Q35" s="1">
        <f t="shared" ca="1" si="10"/>
        <v>1</v>
      </c>
    </row>
    <row r="36" spans="1:17" x14ac:dyDescent="0.3">
      <c r="A36" s="1" t="s">
        <v>73</v>
      </c>
      <c r="B36" s="1" t="s">
        <v>240</v>
      </c>
      <c r="C36" s="1" t="s">
        <v>23</v>
      </c>
      <c r="D36" s="3">
        <f t="shared" ca="1" si="1"/>
        <v>93659587</v>
      </c>
      <c r="E36" s="3">
        <f t="shared" ca="1" si="2"/>
        <v>2815890</v>
      </c>
      <c r="F36" s="3">
        <f t="shared" ca="1" si="3"/>
        <v>139</v>
      </c>
      <c r="G36" s="3">
        <f t="shared" ca="1" si="4"/>
        <v>1709075</v>
      </c>
      <c r="H36" s="3">
        <f t="shared" ca="1" si="5"/>
        <v>218</v>
      </c>
      <c r="I36" s="1" t="s">
        <v>33</v>
      </c>
      <c r="J36" s="3">
        <f t="shared" ca="1" si="6"/>
        <v>478244</v>
      </c>
      <c r="K36" s="3">
        <f t="shared" ca="1" si="7"/>
        <v>409</v>
      </c>
      <c r="L36" s="3">
        <f t="shared" ca="1" si="8"/>
        <v>62</v>
      </c>
      <c r="M36" s="4">
        <v>0.67</v>
      </c>
      <c r="N36" s="5">
        <f t="shared" si="9"/>
        <v>0.32999999999999996</v>
      </c>
      <c r="O36" s="1">
        <f t="shared" ca="1" si="10"/>
        <v>1</v>
      </c>
      <c r="P36" s="1">
        <f t="shared" ca="1" si="10"/>
        <v>1</v>
      </c>
      <c r="Q36" s="1">
        <f t="shared" ca="1" si="10"/>
        <v>0</v>
      </c>
    </row>
    <row r="37" spans="1:17" x14ac:dyDescent="0.3">
      <c r="A37" s="1" t="s">
        <v>74</v>
      </c>
      <c r="B37" s="1" t="s">
        <v>240</v>
      </c>
      <c r="C37" s="1" t="s">
        <v>49</v>
      </c>
      <c r="D37" s="3">
        <f t="shared" ca="1" si="1"/>
        <v>76110210</v>
      </c>
      <c r="E37" s="3">
        <f t="shared" ca="1" si="2"/>
        <v>5485691</v>
      </c>
      <c r="F37" s="3">
        <f t="shared" ca="1" si="3"/>
        <v>390</v>
      </c>
      <c r="G37" s="3">
        <f t="shared" ca="1" si="4"/>
        <v>5732655</v>
      </c>
      <c r="H37" s="3">
        <f t="shared" ca="1" si="5"/>
        <v>115</v>
      </c>
      <c r="I37" s="1" t="s">
        <v>33</v>
      </c>
      <c r="J37" s="3">
        <f t="shared" ca="1" si="6"/>
        <v>420472</v>
      </c>
      <c r="K37" s="3">
        <f t="shared" ca="1" si="7"/>
        <v>437</v>
      </c>
      <c r="L37" s="3">
        <f t="shared" ca="1" si="8"/>
        <v>124</v>
      </c>
      <c r="M37" s="4">
        <v>0.61346153846153895</v>
      </c>
      <c r="N37" s="5">
        <f t="shared" si="9"/>
        <v>0.38653846153846105</v>
      </c>
      <c r="O37" s="1">
        <f t="shared" ca="1" si="10"/>
        <v>1</v>
      </c>
      <c r="P37" s="1">
        <f t="shared" ca="1" si="10"/>
        <v>0</v>
      </c>
      <c r="Q37" s="1">
        <f t="shared" ca="1" si="10"/>
        <v>0</v>
      </c>
    </row>
    <row r="38" spans="1:17" x14ac:dyDescent="0.3">
      <c r="A38" s="1" t="s">
        <v>75</v>
      </c>
      <c r="B38" s="1" t="s">
        <v>240</v>
      </c>
      <c r="C38" s="1" t="s">
        <v>49</v>
      </c>
      <c r="D38" s="3">
        <f t="shared" ca="1" si="1"/>
        <v>73590465</v>
      </c>
      <c r="E38" s="3">
        <f t="shared" ca="1" si="2"/>
        <v>6608363</v>
      </c>
      <c r="F38" s="3">
        <f t="shared" ca="1" si="3"/>
        <v>450</v>
      </c>
      <c r="G38" s="3">
        <f t="shared" ca="1" si="4"/>
        <v>5831109</v>
      </c>
      <c r="H38" s="3">
        <f t="shared" ca="1" si="5"/>
        <v>282</v>
      </c>
      <c r="I38" s="1" t="s">
        <v>38</v>
      </c>
      <c r="J38" s="3">
        <f t="shared" ca="1" si="6"/>
        <v>466476</v>
      </c>
      <c r="K38" s="3">
        <f t="shared" ca="1" si="7"/>
        <v>130</v>
      </c>
      <c r="L38" s="3">
        <f t="shared" ca="1" si="8"/>
        <v>89</v>
      </c>
      <c r="M38" s="4">
        <v>0.64241758241758196</v>
      </c>
      <c r="N38" s="5">
        <f t="shared" si="9"/>
        <v>0.35758241758241804</v>
      </c>
      <c r="O38" s="1">
        <f t="shared" ca="1" si="10"/>
        <v>1</v>
      </c>
      <c r="P38" s="1">
        <f t="shared" ca="1" si="10"/>
        <v>1</v>
      </c>
      <c r="Q38" s="1">
        <f t="shared" ca="1" si="10"/>
        <v>0</v>
      </c>
    </row>
    <row r="39" spans="1:17" x14ac:dyDescent="0.3">
      <c r="A39" s="1" t="s">
        <v>76</v>
      </c>
      <c r="B39" s="1" t="s">
        <v>240</v>
      </c>
      <c r="C39" s="1" t="s">
        <v>52</v>
      </c>
      <c r="D39" s="3">
        <f t="shared" ca="1" si="1"/>
        <v>83875971</v>
      </c>
      <c r="E39" s="3">
        <f t="shared" ca="1" si="2"/>
        <v>5354754</v>
      </c>
      <c r="F39" s="3">
        <f t="shared" ca="1" si="3"/>
        <v>424</v>
      </c>
      <c r="G39" s="3">
        <f t="shared" ca="1" si="4"/>
        <v>6139833</v>
      </c>
      <c r="H39" s="3">
        <f t="shared" ca="1" si="5"/>
        <v>315</v>
      </c>
      <c r="I39" s="1" t="s">
        <v>41</v>
      </c>
      <c r="J39" s="3">
        <f t="shared" ca="1" si="6"/>
        <v>301707</v>
      </c>
      <c r="K39" s="3">
        <f t="shared" ca="1" si="7"/>
        <v>332</v>
      </c>
      <c r="L39" s="3">
        <f t="shared" ca="1" si="8"/>
        <v>29</v>
      </c>
      <c r="M39" s="4">
        <v>0.67137362637362596</v>
      </c>
      <c r="N39" s="5">
        <f t="shared" si="9"/>
        <v>0.32862637362637404</v>
      </c>
      <c r="O39" s="1">
        <f t="shared" ca="1" si="10"/>
        <v>0</v>
      </c>
      <c r="P39" s="1">
        <f t="shared" ca="1" si="10"/>
        <v>1</v>
      </c>
      <c r="Q39" s="1">
        <f t="shared" ca="1" si="10"/>
        <v>0</v>
      </c>
    </row>
    <row r="40" spans="1:17" x14ac:dyDescent="0.3">
      <c r="A40" s="1" t="s">
        <v>77</v>
      </c>
      <c r="B40" s="1" t="s">
        <v>240</v>
      </c>
      <c r="C40" s="1" t="s">
        <v>54</v>
      </c>
      <c r="D40" s="3">
        <f t="shared" ca="1" si="1"/>
        <v>56551972</v>
      </c>
      <c r="E40" s="3">
        <f t="shared" ca="1" si="2"/>
        <v>6054314</v>
      </c>
      <c r="F40" s="3">
        <f t="shared" ca="1" si="3"/>
        <v>262</v>
      </c>
      <c r="G40" s="3">
        <f t="shared" ca="1" si="4"/>
        <v>7935629</v>
      </c>
      <c r="H40" s="3">
        <f t="shared" ca="1" si="5"/>
        <v>38</v>
      </c>
      <c r="I40" s="1" t="s">
        <v>38</v>
      </c>
      <c r="J40" s="3">
        <f t="shared" ca="1" si="6"/>
        <v>13055</v>
      </c>
      <c r="K40" s="3">
        <f t="shared" ca="1" si="7"/>
        <v>548</v>
      </c>
      <c r="L40" s="3">
        <f t="shared" ca="1" si="8"/>
        <v>78</v>
      </c>
      <c r="M40" s="4">
        <v>0.70032967032966997</v>
      </c>
      <c r="N40" s="5">
        <f t="shared" si="9"/>
        <v>0.29967032967033003</v>
      </c>
      <c r="O40" s="1">
        <f t="shared" ca="1" si="10"/>
        <v>0</v>
      </c>
      <c r="P40" s="1">
        <f t="shared" ca="1" si="10"/>
        <v>0</v>
      </c>
      <c r="Q40" s="1">
        <f t="shared" ca="1" si="10"/>
        <v>1</v>
      </c>
    </row>
    <row r="41" spans="1:17" x14ac:dyDescent="0.3">
      <c r="A41" s="1" t="s">
        <v>78</v>
      </c>
      <c r="B41" s="1" t="s">
        <v>240</v>
      </c>
      <c r="C41" s="1" t="s">
        <v>54</v>
      </c>
      <c r="D41" s="3">
        <f t="shared" ca="1" si="1"/>
        <v>72337651</v>
      </c>
      <c r="E41" s="3">
        <f t="shared" ca="1" si="2"/>
        <v>6393466</v>
      </c>
      <c r="F41" s="3">
        <f t="shared" ca="1" si="3"/>
        <v>199</v>
      </c>
      <c r="G41" s="3">
        <f t="shared" ca="1" si="4"/>
        <v>4796214</v>
      </c>
      <c r="H41" s="3">
        <f t="shared" ca="1" si="5"/>
        <v>243</v>
      </c>
      <c r="I41" s="1" t="s">
        <v>41</v>
      </c>
      <c r="J41" s="3">
        <f t="shared" ca="1" si="6"/>
        <v>110606</v>
      </c>
      <c r="K41" s="3">
        <f t="shared" ca="1" si="7"/>
        <v>453</v>
      </c>
      <c r="L41" s="3">
        <f t="shared" ca="1" si="8"/>
        <v>27</v>
      </c>
      <c r="M41" s="4">
        <v>0.72928571428571398</v>
      </c>
      <c r="N41" s="5">
        <f t="shared" si="9"/>
        <v>0.27071428571428602</v>
      </c>
      <c r="O41" s="1">
        <f t="shared" ca="1" si="10"/>
        <v>1</v>
      </c>
      <c r="P41" s="1">
        <f t="shared" ca="1" si="10"/>
        <v>0</v>
      </c>
      <c r="Q41" s="1">
        <f t="shared" ca="1" si="10"/>
        <v>0</v>
      </c>
    </row>
    <row r="42" spans="1:17" x14ac:dyDescent="0.3">
      <c r="A42" s="1" t="s">
        <v>79</v>
      </c>
      <c r="B42" s="1" t="s">
        <v>240</v>
      </c>
      <c r="C42" s="1" t="s">
        <v>20</v>
      </c>
      <c r="D42" s="3">
        <f t="shared" ca="1" si="1"/>
        <v>24164473</v>
      </c>
      <c r="E42" s="3">
        <f t="shared" ca="1" si="2"/>
        <v>7568046</v>
      </c>
      <c r="F42" s="3">
        <f t="shared" ca="1" si="3"/>
        <v>95</v>
      </c>
      <c r="G42" s="3">
        <f t="shared" ca="1" si="4"/>
        <v>8235247</v>
      </c>
      <c r="H42" s="3">
        <f t="shared" ca="1" si="5"/>
        <v>168</v>
      </c>
      <c r="I42" s="1" t="s">
        <v>47</v>
      </c>
      <c r="J42" s="3">
        <f t="shared" ca="1" si="6"/>
        <v>503589</v>
      </c>
      <c r="K42" s="3">
        <f t="shared" ca="1" si="7"/>
        <v>38</v>
      </c>
      <c r="L42" s="3">
        <f t="shared" ca="1" si="8"/>
        <v>41</v>
      </c>
      <c r="M42" s="4">
        <v>0.75824175824175799</v>
      </c>
      <c r="N42" s="5">
        <f t="shared" si="9"/>
        <v>0.24175824175824201</v>
      </c>
      <c r="O42" s="1">
        <f t="shared" ca="1" si="10"/>
        <v>1</v>
      </c>
      <c r="P42" s="1">
        <f t="shared" ca="1" si="10"/>
        <v>1</v>
      </c>
      <c r="Q42" s="1">
        <f t="shared" ca="1" si="10"/>
        <v>1</v>
      </c>
    </row>
    <row r="43" spans="1:17" x14ac:dyDescent="0.3">
      <c r="A43" s="1" t="s">
        <v>80</v>
      </c>
      <c r="B43" s="1" t="s">
        <v>240</v>
      </c>
      <c r="C43" s="1" t="s">
        <v>20</v>
      </c>
      <c r="D43" s="3">
        <f t="shared" ca="1" si="1"/>
        <v>55695885</v>
      </c>
      <c r="E43" s="3">
        <f t="shared" ca="1" si="2"/>
        <v>17887</v>
      </c>
      <c r="F43" s="3">
        <f t="shared" ca="1" si="3"/>
        <v>428</v>
      </c>
      <c r="G43" s="3">
        <f t="shared" ca="1" si="4"/>
        <v>2712687</v>
      </c>
      <c r="H43" s="3">
        <f t="shared" ca="1" si="5"/>
        <v>474</v>
      </c>
      <c r="I43" s="1" t="s">
        <v>47</v>
      </c>
      <c r="J43" s="3">
        <f t="shared" ca="1" si="6"/>
        <v>82436</v>
      </c>
      <c r="K43" s="3">
        <f t="shared" ca="1" si="7"/>
        <v>149</v>
      </c>
      <c r="L43" s="3">
        <f t="shared" ca="1" si="8"/>
        <v>91</v>
      </c>
      <c r="M43" s="4">
        <v>0.787197802197802</v>
      </c>
      <c r="N43" s="5">
        <f t="shared" si="9"/>
        <v>0.212802197802198</v>
      </c>
      <c r="O43" s="1">
        <f t="shared" ca="1" si="10"/>
        <v>1</v>
      </c>
      <c r="P43" s="1">
        <f t="shared" ca="1" si="10"/>
        <v>0</v>
      </c>
      <c r="Q43" s="1">
        <f t="shared" ca="1" si="10"/>
        <v>1</v>
      </c>
    </row>
    <row r="44" spans="1:17" x14ac:dyDescent="0.3">
      <c r="A44" s="1" t="s">
        <v>81</v>
      </c>
      <c r="B44" s="1" t="s">
        <v>240</v>
      </c>
      <c r="C44" s="1" t="s">
        <v>20</v>
      </c>
      <c r="D44" s="3">
        <f t="shared" ca="1" si="1"/>
        <v>26788808</v>
      </c>
      <c r="E44" s="3">
        <f t="shared" ca="1" si="2"/>
        <v>6822929</v>
      </c>
      <c r="F44" s="3">
        <f t="shared" ca="1" si="3"/>
        <v>42</v>
      </c>
      <c r="G44" s="3">
        <f t="shared" ca="1" si="4"/>
        <v>9667913</v>
      </c>
      <c r="H44" s="3">
        <f t="shared" ca="1" si="5"/>
        <v>188</v>
      </c>
      <c r="I44" s="1" t="s">
        <v>18</v>
      </c>
      <c r="J44" s="3">
        <f t="shared" ca="1" si="6"/>
        <v>388910</v>
      </c>
      <c r="K44" s="3">
        <f t="shared" ca="1" si="7"/>
        <v>388</v>
      </c>
      <c r="L44" s="3">
        <f t="shared" ca="1" si="8"/>
        <v>114</v>
      </c>
      <c r="M44" s="4">
        <v>0.81615384615384601</v>
      </c>
      <c r="N44" s="5">
        <f t="shared" si="9"/>
        <v>0.18384615384615399</v>
      </c>
      <c r="O44" s="1">
        <f t="shared" ca="1" si="10"/>
        <v>0</v>
      </c>
      <c r="P44" s="1">
        <f t="shared" ca="1" si="10"/>
        <v>1</v>
      </c>
      <c r="Q44" s="1">
        <f t="shared" ca="1" si="10"/>
        <v>0</v>
      </c>
    </row>
    <row r="45" spans="1:17" x14ac:dyDescent="0.3">
      <c r="A45" s="1" t="s">
        <v>82</v>
      </c>
      <c r="B45" s="1" t="s">
        <v>240</v>
      </c>
      <c r="C45" s="1" t="s">
        <v>60</v>
      </c>
      <c r="D45" s="3">
        <f t="shared" ca="1" si="1"/>
        <v>19201720</v>
      </c>
      <c r="E45" s="3">
        <f t="shared" ca="1" si="2"/>
        <v>2403924</v>
      </c>
      <c r="F45" s="3">
        <f t="shared" ca="1" si="3"/>
        <v>174</v>
      </c>
      <c r="G45" s="3">
        <f t="shared" ca="1" si="4"/>
        <v>6894845</v>
      </c>
      <c r="H45" s="3">
        <f t="shared" ca="1" si="5"/>
        <v>7</v>
      </c>
      <c r="I45" s="1" t="s">
        <v>21</v>
      </c>
      <c r="J45" s="3">
        <f t="shared" ca="1" si="6"/>
        <v>28254</v>
      </c>
      <c r="K45" s="3">
        <f t="shared" ca="1" si="7"/>
        <v>71</v>
      </c>
      <c r="L45" s="3">
        <f t="shared" ca="1" si="8"/>
        <v>15</v>
      </c>
      <c r="M45" s="4">
        <v>0.84510989010989002</v>
      </c>
      <c r="N45" s="5">
        <f t="shared" si="9"/>
        <v>0.15489010989010998</v>
      </c>
      <c r="O45" s="1">
        <f t="shared" ca="1" si="10"/>
        <v>0</v>
      </c>
      <c r="P45" s="1">
        <f t="shared" ca="1" si="10"/>
        <v>1</v>
      </c>
      <c r="Q45" s="1">
        <f t="shared" ca="1" si="10"/>
        <v>1</v>
      </c>
    </row>
    <row r="46" spans="1:17" x14ac:dyDescent="0.3">
      <c r="A46" s="1" t="s">
        <v>83</v>
      </c>
      <c r="B46" s="1" t="s">
        <v>240</v>
      </c>
      <c r="C46" s="1" t="s">
        <v>17</v>
      </c>
      <c r="D46" s="3">
        <f t="shared" ca="1" si="1"/>
        <v>43530791</v>
      </c>
      <c r="E46" s="3">
        <f t="shared" ca="1" si="2"/>
        <v>6512071</v>
      </c>
      <c r="F46" s="3">
        <f t="shared" ca="1" si="3"/>
        <v>353</v>
      </c>
      <c r="G46" s="3">
        <f t="shared" ca="1" si="4"/>
        <v>2093345</v>
      </c>
      <c r="H46" s="3">
        <f t="shared" ca="1" si="5"/>
        <v>361</v>
      </c>
      <c r="I46" s="1" t="s">
        <v>21</v>
      </c>
      <c r="J46" s="3">
        <f t="shared" ca="1" si="6"/>
        <v>441748</v>
      </c>
      <c r="K46" s="3">
        <f t="shared" ca="1" si="7"/>
        <v>43</v>
      </c>
      <c r="L46" s="3">
        <f t="shared" ca="1" si="8"/>
        <v>58</v>
      </c>
      <c r="M46" s="4"/>
      <c r="N46" s="5">
        <f t="shared" si="9"/>
        <v>1</v>
      </c>
      <c r="O46" s="1">
        <f t="shared" ca="1" si="10"/>
        <v>1</v>
      </c>
      <c r="P46" s="1">
        <f t="shared" ca="1" si="10"/>
        <v>0</v>
      </c>
      <c r="Q46" s="1">
        <f t="shared" ca="1" si="10"/>
        <v>1</v>
      </c>
    </row>
    <row r="47" spans="1:17" x14ac:dyDescent="0.3">
      <c r="A47" s="1" t="s">
        <v>84</v>
      </c>
      <c r="B47" s="1" t="s">
        <v>240</v>
      </c>
      <c r="C47" s="1" t="s">
        <v>20</v>
      </c>
      <c r="D47" s="3">
        <f t="shared" ca="1" si="1"/>
        <v>50950063</v>
      </c>
      <c r="E47" s="3">
        <f t="shared" ca="1" si="2"/>
        <v>2705910</v>
      </c>
      <c r="F47" s="3">
        <f t="shared" ca="1" si="3"/>
        <v>393</v>
      </c>
      <c r="G47" s="3">
        <f t="shared" ca="1" si="4"/>
        <v>8966846</v>
      </c>
      <c r="H47" s="3">
        <f t="shared" ca="1" si="5"/>
        <v>157</v>
      </c>
      <c r="I47" s="1" t="s">
        <v>18</v>
      </c>
      <c r="J47" s="3">
        <f t="shared" ca="1" si="6"/>
        <v>485805</v>
      </c>
      <c r="K47" s="3">
        <f t="shared" ca="1" si="7"/>
        <v>50</v>
      </c>
      <c r="L47" s="3">
        <f t="shared" ca="1" si="8"/>
        <v>58</v>
      </c>
      <c r="M47" s="4"/>
      <c r="N47" s="5">
        <f t="shared" si="9"/>
        <v>1</v>
      </c>
      <c r="O47" s="1">
        <f t="shared" ca="1" si="10"/>
        <v>1</v>
      </c>
      <c r="P47" s="1">
        <f t="shared" ca="1" si="10"/>
        <v>0</v>
      </c>
      <c r="Q47" s="1">
        <f t="shared" ca="1" si="10"/>
        <v>1</v>
      </c>
    </row>
    <row r="48" spans="1:17" x14ac:dyDescent="0.3">
      <c r="A48" s="1" t="s">
        <v>85</v>
      </c>
      <c r="B48" s="1" t="s">
        <v>240</v>
      </c>
      <c r="C48" s="1" t="s">
        <v>23</v>
      </c>
      <c r="D48" s="3">
        <f t="shared" ca="1" si="1"/>
        <v>88638141</v>
      </c>
      <c r="E48" s="3">
        <f t="shared" ca="1" si="2"/>
        <v>2242107</v>
      </c>
      <c r="F48" s="3">
        <f t="shared" ca="1" si="3"/>
        <v>134</v>
      </c>
      <c r="G48" s="3">
        <f t="shared" ca="1" si="4"/>
        <v>305631</v>
      </c>
      <c r="H48" s="3">
        <f t="shared" ca="1" si="5"/>
        <v>157</v>
      </c>
      <c r="I48" s="1" t="s">
        <v>28</v>
      </c>
      <c r="J48" s="3">
        <f t="shared" ca="1" si="6"/>
        <v>569324</v>
      </c>
      <c r="K48" s="3">
        <f t="shared" ca="1" si="7"/>
        <v>81</v>
      </c>
      <c r="L48" s="3">
        <f t="shared" ca="1" si="8"/>
        <v>49</v>
      </c>
      <c r="M48" s="4"/>
      <c r="N48" s="5">
        <f t="shared" si="9"/>
        <v>1</v>
      </c>
      <c r="O48" s="1">
        <f t="shared" ca="1" si="10"/>
        <v>1</v>
      </c>
      <c r="P48" s="1">
        <f t="shared" ca="1" si="10"/>
        <v>1</v>
      </c>
      <c r="Q48" s="1">
        <f t="shared" ca="1" si="10"/>
        <v>1</v>
      </c>
    </row>
    <row r="49" spans="1:17" x14ac:dyDescent="0.3">
      <c r="A49" s="1" t="s">
        <v>86</v>
      </c>
      <c r="B49" s="1" t="s">
        <v>240</v>
      </c>
      <c r="C49" s="1" t="s">
        <v>25</v>
      </c>
      <c r="D49" s="3">
        <f t="shared" ca="1" si="1"/>
        <v>66020567</v>
      </c>
      <c r="E49" s="3">
        <f t="shared" ca="1" si="2"/>
        <v>6690472</v>
      </c>
      <c r="F49" s="3">
        <f t="shared" ca="1" si="3"/>
        <v>331</v>
      </c>
      <c r="G49" s="3">
        <f t="shared" ca="1" si="4"/>
        <v>6389285</v>
      </c>
      <c r="H49" s="3">
        <f t="shared" ca="1" si="5"/>
        <v>353</v>
      </c>
      <c r="I49" s="1" t="s">
        <v>28</v>
      </c>
      <c r="J49" s="3">
        <f t="shared" ca="1" si="6"/>
        <v>593120</v>
      </c>
      <c r="K49" s="3">
        <f t="shared" ca="1" si="7"/>
        <v>238</v>
      </c>
      <c r="L49" s="3">
        <f t="shared" ca="1" si="8"/>
        <v>122</v>
      </c>
      <c r="M49" s="4"/>
      <c r="N49" s="5">
        <f t="shared" si="9"/>
        <v>1</v>
      </c>
      <c r="O49" s="1">
        <f t="shared" ca="1" si="10"/>
        <v>1</v>
      </c>
      <c r="P49" s="1">
        <f t="shared" ca="1" si="10"/>
        <v>0</v>
      </c>
      <c r="Q49" s="1">
        <f t="shared" ca="1" si="10"/>
        <v>1</v>
      </c>
    </row>
    <row r="50" spans="1:17" x14ac:dyDescent="0.3">
      <c r="A50" s="1" t="s">
        <v>87</v>
      </c>
      <c r="B50" s="1" t="s">
        <v>240</v>
      </c>
      <c r="C50" s="1" t="s">
        <v>27</v>
      </c>
      <c r="D50" s="3">
        <f t="shared" ca="1" si="1"/>
        <v>9728192</v>
      </c>
      <c r="E50" s="3">
        <f t="shared" ca="1" si="2"/>
        <v>8648398</v>
      </c>
      <c r="F50" s="3">
        <f t="shared" ca="1" si="3"/>
        <v>281</v>
      </c>
      <c r="G50" s="3">
        <f t="shared" ca="1" si="4"/>
        <v>1669317</v>
      </c>
      <c r="H50" s="3">
        <f t="shared" ca="1" si="5"/>
        <v>364</v>
      </c>
      <c r="I50" s="1" t="s">
        <v>33</v>
      </c>
      <c r="J50" s="3">
        <f t="shared" ca="1" si="6"/>
        <v>49526</v>
      </c>
      <c r="K50" s="3">
        <f t="shared" ca="1" si="7"/>
        <v>454</v>
      </c>
      <c r="L50" s="3">
        <f t="shared" ca="1" si="8"/>
        <v>40</v>
      </c>
      <c r="M50" s="4"/>
      <c r="N50" s="5">
        <f t="shared" si="9"/>
        <v>1</v>
      </c>
      <c r="O50" s="1">
        <f t="shared" ca="1" si="10"/>
        <v>0</v>
      </c>
      <c r="P50" s="1">
        <f t="shared" ca="1" si="10"/>
        <v>1</v>
      </c>
      <c r="Q50" s="1">
        <f t="shared" ca="1" si="10"/>
        <v>0</v>
      </c>
    </row>
    <row r="51" spans="1:17" x14ac:dyDescent="0.3">
      <c r="A51" s="1" t="s">
        <v>88</v>
      </c>
      <c r="B51" s="1" t="s">
        <v>240</v>
      </c>
      <c r="C51" s="1" t="s">
        <v>30</v>
      </c>
      <c r="D51" s="3">
        <f t="shared" ca="1" si="1"/>
        <v>29791841</v>
      </c>
      <c r="E51" s="3">
        <f t="shared" ca="1" si="2"/>
        <v>1192079</v>
      </c>
      <c r="F51" s="3">
        <f t="shared" ca="1" si="3"/>
        <v>353</v>
      </c>
      <c r="G51" s="3">
        <f t="shared" ca="1" si="4"/>
        <v>9569779</v>
      </c>
      <c r="H51" s="3">
        <f t="shared" ca="1" si="5"/>
        <v>342</v>
      </c>
      <c r="I51" s="1" t="s">
        <v>33</v>
      </c>
      <c r="J51" s="3">
        <f t="shared" ca="1" si="6"/>
        <v>344949</v>
      </c>
      <c r="K51" s="3">
        <f t="shared" ca="1" si="7"/>
        <v>534</v>
      </c>
      <c r="L51" s="3">
        <f t="shared" ca="1" si="8"/>
        <v>8</v>
      </c>
      <c r="M51" s="4"/>
      <c r="N51" s="5">
        <f t="shared" si="9"/>
        <v>1</v>
      </c>
      <c r="O51" s="1">
        <f t="shared" ca="1" si="10"/>
        <v>0</v>
      </c>
      <c r="P51" s="1">
        <f t="shared" ca="1" si="10"/>
        <v>1</v>
      </c>
      <c r="Q51" s="1">
        <f t="shared" ca="1" si="10"/>
        <v>1</v>
      </c>
    </row>
    <row r="52" spans="1:17" x14ac:dyDescent="0.3">
      <c r="A52" s="1" t="s">
        <v>89</v>
      </c>
      <c r="B52" s="1" t="s">
        <v>240</v>
      </c>
      <c r="C52" s="1" t="s">
        <v>32</v>
      </c>
      <c r="D52" s="3">
        <f t="shared" ca="1" si="1"/>
        <v>22140718</v>
      </c>
      <c r="E52" s="3">
        <f t="shared" ca="1" si="2"/>
        <v>5162279</v>
      </c>
      <c r="F52" s="3">
        <f t="shared" ca="1" si="3"/>
        <v>30</v>
      </c>
      <c r="G52" s="3">
        <f t="shared" ca="1" si="4"/>
        <v>8332606</v>
      </c>
      <c r="H52" s="3">
        <f t="shared" ca="1" si="5"/>
        <v>184</v>
      </c>
      <c r="I52" s="1" t="s">
        <v>38</v>
      </c>
      <c r="J52" s="3">
        <f t="shared" ca="1" si="6"/>
        <v>92171</v>
      </c>
      <c r="K52" s="3">
        <f t="shared" ca="1" si="7"/>
        <v>114</v>
      </c>
      <c r="L52" s="3">
        <f t="shared" ca="1" si="8"/>
        <v>56</v>
      </c>
      <c r="M52" s="4"/>
      <c r="N52" s="5">
        <f t="shared" si="9"/>
        <v>1</v>
      </c>
      <c r="O52" s="1">
        <f t="shared" ca="1" si="10"/>
        <v>0</v>
      </c>
      <c r="P52" s="1">
        <f t="shared" ca="1" si="10"/>
        <v>0</v>
      </c>
      <c r="Q52" s="1">
        <f t="shared" ca="1" si="10"/>
        <v>1</v>
      </c>
    </row>
    <row r="53" spans="1:17" x14ac:dyDescent="0.3">
      <c r="A53" s="1" t="s">
        <v>90</v>
      </c>
      <c r="B53" s="1" t="s">
        <v>240</v>
      </c>
      <c r="C53" s="1" t="s">
        <v>35</v>
      </c>
      <c r="D53" s="3">
        <f t="shared" ca="1" si="1"/>
        <v>25426009</v>
      </c>
      <c r="E53" s="3">
        <f t="shared" ca="1" si="2"/>
        <v>1894293</v>
      </c>
      <c r="F53" s="3">
        <f t="shared" ca="1" si="3"/>
        <v>232</v>
      </c>
      <c r="G53" s="3">
        <f t="shared" ca="1" si="4"/>
        <v>6031848</v>
      </c>
      <c r="H53" s="3">
        <f t="shared" ca="1" si="5"/>
        <v>176</v>
      </c>
      <c r="I53" s="1" t="s">
        <v>41</v>
      </c>
      <c r="J53" s="3">
        <f t="shared" ca="1" si="6"/>
        <v>11855</v>
      </c>
      <c r="K53" s="3">
        <f t="shared" ca="1" si="7"/>
        <v>187</v>
      </c>
      <c r="L53" s="3">
        <f t="shared" ca="1" si="8"/>
        <v>113</v>
      </c>
      <c r="M53" s="4"/>
      <c r="N53" s="5">
        <f t="shared" si="9"/>
        <v>1</v>
      </c>
      <c r="O53" s="1">
        <f t="shared" ca="1" si="10"/>
        <v>0</v>
      </c>
      <c r="P53" s="1">
        <f t="shared" ca="1" si="10"/>
        <v>1</v>
      </c>
      <c r="Q53" s="1">
        <f t="shared" ca="1" si="10"/>
        <v>1</v>
      </c>
    </row>
    <row r="54" spans="1:17" x14ac:dyDescent="0.3">
      <c r="A54" s="1" t="s">
        <v>91</v>
      </c>
      <c r="B54" s="1" t="s">
        <v>240</v>
      </c>
      <c r="C54" s="1" t="s">
        <v>37</v>
      </c>
      <c r="D54" s="3">
        <f t="shared" ca="1" si="1"/>
        <v>34646682</v>
      </c>
      <c r="E54" s="3">
        <f t="shared" ca="1" si="2"/>
        <v>5840389</v>
      </c>
      <c r="F54" s="3">
        <f t="shared" ca="1" si="3"/>
        <v>269</v>
      </c>
      <c r="G54" s="3">
        <f t="shared" ca="1" si="4"/>
        <v>8135151</v>
      </c>
      <c r="H54" s="3">
        <f t="shared" ca="1" si="5"/>
        <v>83</v>
      </c>
      <c r="I54" s="1" t="s">
        <v>38</v>
      </c>
      <c r="J54" s="3">
        <f t="shared" ca="1" si="6"/>
        <v>332915</v>
      </c>
      <c r="K54" s="3">
        <f t="shared" ca="1" si="7"/>
        <v>50</v>
      </c>
      <c r="L54" s="3">
        <f t="shared" ca="1" si="8"/>
        <v>29</v>
      </c>
      <c r="M54" s="4"/>
      <c r="N54" s="5">
        <f t="shared" si="9"/>
        <v>1</v>
      </c>
      <c r="O54" s="1">
        <f t="shared" ca="1" si="10"/>
        <v>1</v>
      </c>
      <c r="P54" s="1">
        <f t="shared" ca="1" si="10"/>
        <v>0</v>
      </c>
      <c r="Q54" s="1">
        <f t="shared" ca="1" si="10"/>
        <v>0</v>
      </c>
    </row>
    <row r="55" spans="1:17" x14ac:dyDescent="0.3">
      <c r="A55" s="1" t="s">
        <v>92</v>
      </c>
      <c r="B55" s="1" t="s">
        <v>240</v>
      </c>
      <c r="C55" s="1" t="s">
        <v>40</v>
      </c>
      <c r="D55" s="3">
        <f t="shared" ca="1" si="1"/>
        <v>96449087</v>
      </c>
      <c r="E55" s="3">
        <f t="shared" ca="1" si="2"/>
        <v>1280958</v>
      </c>
      <c r="F55" s="3">
        <f t="shared" ca="1" si="3"/>
        <v>155</v>
      </c>
      <c r="G55" s="3">
        <f t="shared" ca="1" si="4"/>
        <v>4614716</v>
      </c>
      <c r="H55" s="3">
        <f t="shared" ca="1" si="5"/>
        <v>181</v>
      </c>
      <c r="I55" s="1" t="s">
        <v>41</v>
      </c>
      <c r="J55" s="3">
        <f t="shared" ca="1" si="6"/>
        <v>500661</v>
      </c>
      <c r="K55" s="3">
        <f t="shared" ca="1" si="7"/>
        <v>546</v>
      </c>
      <c r="L55" s="3">
        <f t="shared" ca="1" si="8"/>
        <v>64</v>
      </c>
      <c r="M55" s="4"/>
      <c r="N55" s="5">
        <f t="shared" si="9"/>
        <v>1</v>
      </c>
      <c r="O55" s="1">
        <f t="shared" ca="1" si="10"/>
        <v>0</v>
      </c>
      <c r="P55" s="1">
        <f t="shared" ca="1" si="10"/>
        <v>1</v>
      </c>
      <c r="Q55" s="1">
        <f t="shared" ca="1" si="10"/>
        <v>0</v>
      </c>
    </row>
    <row r="56" spans="1:17" x14ac:dyDescent="0.3">
      <c r="A56" s="1" t="s">
        <v>93</v>
      </c>
      <c r="B56" s="1" t="s">
        <v>240</v>
      </c>
      <c r="C56" s="1" t="s">
        <v>43</v>
      </c>
      <c r="D56" s="3">
        <f t="shared" ca="1" si="1"/>
        <v>87769349</v>
      </c>
      <c r="E56" s="3">
        <f t="shared" ca="1" si="2"/>
        <v>246879</v>
      </c>
      <c r="F56" s="3">
        <f t="shared" ca="1" si="3"/>
        <v>235</v>
      </c>
      <c r="G56" s="3">
        <f t="shared" ca="1" si="4"/>
        <v>9817754</v>
      </c>
      <c r="H56" s="3">
        <f t="shared" ca="1" si="5"/>
        <v>54</v>
      </c>
      <c r="I56" s="1" t="s">
        <v>47</v>
      </c>
      <c r="J56" s="3">
        <f t="shared" ca="1" si="6"/>
        <v>120101</v>
      </c>
      <c r="K56" s="3">
        <f t="shared" ca="1" si="7"/>
        <v>202</v>
      </c>
      <c r="L56" s="3">
        <f t="shared" ca="1" si="8"/>
        <v>6</v>
      </c>
      <c r="M56" s="4"/>
      <c r="N56" s="5">
        <f t="shared" si="9"/>
        <v>1</v>
      </c>
      <c r="O56" s="1">
        <f t="shared" ca="1" si="10"/>
        <v>1</v>
      </c>
      <c r="P56" s="1">
        <f t="shared" ca="1" si="10"/>
        <v>0</v>
      </c>
      <c r="Q56" s="1">
        <f t="shared" ca="1" si="10"/>
        <v>1</v>
      </c>
    </row>
    <row r="57" spans="1:17" x14ac:dyDescent="0.3">
      <c r="A57" s="1" t="s">
        <v>94</v>
      </c>
      <c r="B57" s="1" t="s">
        <v>240</v>
      </c>
      <c r="C57" s="1" t="s">
        <v>45</v>
      </c>
      <c r="D57" s="3">
        <f t="shared" ca="1" si="1"/>
        <v>45996050</v>
      </c>
      <c r="E57" s="3">
        <f t="shared" ca="1" si="2"/>
        <v>876024</v>
      </c>
      <c r="F57" s="3">
        <f t="shared" ca="1" si="3"/>
        <v>351</v>
      </c>
      <c r="G57" s="3">
        <f t="shared" ca="1" si="4"/>
        <v>5872034</v>
      </c>
      <c r="H57" s="3">
        <f t="shared" ca="1" si="5"/>
        <v>6</v>
      </c>
      <c r="I57" s="1" t="s">
        <v>47</v>
      </c>
      <c r="J57" s="3">
        <f t="shared" ca="1" si="6"/>
        <v>527735</v>
      </c>
      <c r="K57" s="3">
        <f t="shared" ca="1" si="7"/>
        <v>423</v>
      </c>
      <c r="L57" s="3">
        <f t="shared" ca="1" si="8"/>
        <v>91</v>
      </c>
      <c r="M57" s="4"/>
      <c r="N57" s="5">
        <f t="shared" si="9"/>
        <v>1</v>
      </c>
      <c r="O57" s="1">
        <f t="shared" ca="1" si="10"/>
        <v>0</v>
      </c>
      <c r="P57" s="1">
        <f t="shared" ca="1" si="10"/>
        <v>1</v>
      </c>
      <c r="Q57" s="1">
        <f t="shared" ca="1" si="10"/>
        <v>1</v>
      </c>
    </row>
    <row r="58" spans="1:17" x14ac:dyDescent="0.3">
      <c r="A58" s="1" t="s">
        <v>95</v>
      </c>
      <c r="B58" s="1" t="s">
        <v>240</v>
      </c>
      <c r="C58" s="1" t="s">
        <v>23</v>
      </c>
      <c r="D58" s="3">
        <f t="shared" ca="1" si="1"/>
        <v>40890561</v>
      </c>
      <c r="E58" s="3">
        <f t="shared" ca="1" si="2"/>
        <v>519515</v>
      </c>
      <c r="F58" s="3">
        <f t="shared" ca="1" si="3"/>
        <v>124</v>
      </c>
      <c r="G58" s="3">
        <f t="shared" ca="1" si="4"/>
        <v>5067477</v>
      </c>
      <c r="H58" s="3">
        <f t="shared" ca="1" si="5"/>
        <v>80</v>
      </c>
      <c r="I58" s="1" t="s">
        <v>18</v>
      </c>
      <c r="J58" s="3">
        <f t="shared" ca="1" si="6"/>
        <v>253851</v>
      </c>
      <c r="K58" s="3">
        <f t="shared" ca="1" si="7"/>
        <v>81</v>
      </c>
      <c r="L58" s="3">
        <f t="shared" ca="1" si="8"/>
        <v>50</v>
      </c>
      <c r="M58" s="4"/>
      <c r="N58" s="5">
        <f t="shared" si="9"/>
        <v>1</v>
      </c>
      <c r="O58" s="1">
        <f t="shared" ca="1" si="10"/>
        <v>1</v>
      </c>
      <c r="P58" s="1">
        <f t="shared" ca="1" si="10"/>
        <v>0</v>
      </c>
      <c r="Q58" s="1">
        <f t="shared" ca="1" si="10"/>
        <v>0</v>
      </c>
    </row>
    <row r="59" spans="1:17" x14ac:dyDescent="0.3">
      <c r="A59" s="1" t="s">
        <v>96</v>
      </c>
      <c r="B59" s="1" t="s">
        <v>240</v>
      </c>
      <c r="C59" s="1" t="s">
        <v>49</v>
      </c>
      <c r="D59" s="3">
        <f t="shared" ca="1" si="1"/>
        <v>44348992</v>
      </c>
      <c r="E59" s="3">
        <f t="shared" ca="1" si="2"/>
        <v>6305833</v>
      </c>
      <c r="F59" s="3">
        <f t="shared" ca="1" si="3"/>
        <v>264</v>
      </c>
      <c r="G59" s="3">
        <f t="shared" ca="1" si="4"/>
        <v>6557936</v>
      </c>
      <c r="H59" s="3">
        <f t="shared" ca="1" si="5"/>
        <v>393</v>
      </c>
      <c r="I59" s="1" t="s">
        <v>21</v>
      </c>
      <c r="J59" s="3">
        <f t="shared" ca="1" si="6"/>
        <v>331519</v>
      </c>
      <c r="K59" s="3">
        <f t="shared" ca="1" si="7"/>
        <v>280</v>
      </c>
      <c r="L59" s="3">
        <f t="shared" ca="1" si="8"/>
        <v>27</v>
      </c>
      <c r="M59" s="4"/>
      <c r="N59" s="5">
        <f t="shared" si="9"/>
        <v>1</v>
      </c>
      <c r="O59" s="1">
        <f t="shared" ca="1" si="10"/>
        <v>0</v>
      </c>
      <c r="P59" s="1">
        <f t="shared" ca="1" si="10"/>
        <v>0</v>
      </c>
      <c r="Q59" s="1">
        <f t="shared" ca="1" si="10"/>
        <v>1</v>
      </c>
    </row>
    <row r="60" spans="1:17" x14ac:dyDescent="0.3">
      <c r="A60" s="1" t="s">
        <v>97</v>
      </c>
      <c r="B60" s="1" t="s">
        <v>240</v>
      </c>
      <c r="C60" s="1" t="s">
        <v>49</v>
      </c>
      <c r="D60" s="3">
        <f t="shared" ca="1" si="1"/>
        <v>47810370</v>
      </c>
      <c r="E60" s="3">
        <f t="shared" ca="1" si="2"/>
        <v>5898125</v>
      </c>
      <c r="F60" s="3">
        <f t="shared" ca="1" si="3"/>
        <v>52</v>
      </c>
      <c r="G60" s="3">
        <f t="shared" ca="1" si="4"/>
        <v>31482</v>
      </c>
      <c r="H60" s="3">
        <f t="shared" ca="1" si="5"/>
        <v>459</v>
      </c>
      <c r="I60" s="1" t="s">
        <v>21</v>
      </c>
      <c r="J60" s="3">
        <f t="shared" ca="1" si="6"/>
        <v>112257</v>
      </c>
      <c r="K60" s="3">
        <f t="shared" ca="1" si="7"/>
        <v>118</v>
      </c>
      <c r="L60" s="3">
        <f t="shared" ca="1" si="8"/>
        <v>53</v>
      </c>
      <c r="M60" s="4"/>
      <c r="N60" s="5">
        <f t="shared" si="9"/>
        <v>1</v>
      </c>
      <c r="O60" s="1">
        <f t="shared" ca="1" si="10"/>
        <v>0</v>
      </c>
      <c r="P60" s="1">
        <f t="shared" ca="1" si="10"/>
        <v>1</v>
      </c>
      <c r="Q60" s="1">
        <f t="shared" ca="1" si="10"/>
        <v>0</v>
      </c>
    </row>
    <row r="61" spans="1:17" x14ac:dyDescent="0.3">
      <c r="A61" s="1" t="s">
        <v>98</v>
      </c>
      <c r="B61" s="1" t="s">
        <v>240</v>
      </c>
      <c r="C61" s="1" t="s">
        <v>52</v>
      </c>
      <c r="D61" s="3">
        <f t="shared" ca="1" si="1"/>
        <v>74778709</v>
      </c>
      <c r="E61" s="3">
        <f t="shared" ca="1" si="2"/>
        <v>8372538</v>
      </c>
      <c r="F61" s="3">
        <f t="shared" ca="1" si="3"/>
        <v>121</v>
      </c>
      <c r="G61" s="3">
        <f t="shared" ca="1" si="4"/>
        <v>4617682</v>
      </c>
      <c r="H61" s="3">
        <f t="shared" ca="1" si="5"/>
        <v>16</v>
      </c>
      <c r="I61" s="1" t="s">
        <v>18</v>
      </c>
      <c r="J61" s="3">
        <f t="shared" ca="1" si="6"/>
        <v>131613</v>
      </c>
      <c r="K61" s="3">
        <f t="shared" ca="1" si="7"/>
        <v>365</v>
      </c>
      <c r="L61" s="3">
        <f t="shared" ca="1" si="8"/>
        <v>8</v>
      </c>
      <c r="M61" s="4"/>
      <c r="N61" s="5">
        <f t="shared" si="9"/>
        <v>1</v>
      </c>
      <c r="O61" s="1">
        <f t="shared" ca="1" si="10"/>
        <v>0</v>
      </c>
      <c r="P61" s="1">
        <f t="shared" ca="1" si="10"/>
        <v>0</v>
      </c>
      <c r="Q61" s="1">
        <f t="shared" ca="1" si="10"/>
        <v>0</v>
      </c>
    </row>
    <row r="62" spans="1:17" x14ac:dyDescent="0.3">
      <c r="A62" s="1" t="s">
        <v>99</v>
      </c>
      <c r="B62" s="1" t="s">
        <v>240</v>
      </c>
      <c r="C62" s="1" t="s">
        <v>54</v>
      </c>
      <c r="D62" s="3">
        <f t="shared" ca="1" si="1"/>
        <v>17512605</v>
      </c>
      <c r="E62" s="3">
        <f t="shared" ca="1" si="2"/>
        <v>4270814</v>
      </c>
      <c r="F62" s="3">
        <f t="shared" ca="1" si="3"/>
        <v>387</v>
      </c>
      <c r="G62" s="3">
        <f t="shared" ca="1" si="4"/>
        <v>3294111</v>
      </c>
      <c r="H62" s="3">
        <f t="shared" ca="1" si="5"/>
        <v>212</v>
      </c>
      <c r="I62" s="1" t="s">
        <v>28</v>
      </c>
      <c r="J62" s="3">
        <f t="shared" ca="1" si="6"/>
        <v>455012</v>
      </c>
      <c r="K62" s="3">
        <f t="shared" ca="1" si="7"/>
        <v>86</v>
      </c>
      <c r="L62" s="3">
        <f t="shared" ca="1" si="8"/>
        <v>64</v>
      </c>
      <c r="M62" s="4"/>
      <c r="N62" s="5">
        <f t="shared" si="9"/>
        <v>1</v>
      </c>
      <c r="O62" s="1">
        <f t="shared" ca="1" si="10"/>
        <v>1</v>
      </c>
      <c r="P62" s="1">
        <f t="shared" ca="1" si="10"/>
        <v>1</v>
      </c>
      <c r="Q62" s="1">
        <f t="shared" ca="1" si="10"/>
        <v>1</v>
      </c>
    </row>
    <row r="63" spans="1:17" x14ac:dyDescent="0.3">
      <c r="A63" s="1" t="s">
        <v>100</v>
      </c>
      <c r="B63" s="1" t="s">
        <v>240</v>
      </c>
      <c r="C63" s="1" t="s">
        <v>54</v>
      </c>
      <c r="D63" s="3">
        <f t="shared" ca="1" si="1"/>
        <v>23508593</v>
      </c>
      <c r="E63" s="3">
        <f t="shared" ca="1" si="2"/>
        <v>1063494</v>
      </c>
      <c r="F63" s="3">
        <f t="shared" ca="1" si="3"/>
        <v>343</v>
      </c>
      <c r="G63" s="3">
        <f t="shared" ca="1" si="4"/>
        <v>8412464</v>
      </c>
      <c r="H63" s="3">
        <f t="shared" ca="1" si="5"/>
        <v>178</v>
      </c>
      <c r="I63" s="1" t="s">
        <v>28</v>
      </c>
      <c r="J63" s="3">
        <f t="shared" ca="1" si="6"/>
        <v>447477</v>
      </c>
      <c r="K63" s="3">
        <f t="shared" ca="1" si="7"/>
        <v>497</v>
      </c>
      <c r="L63" s="3">
        <f t="shared" ca="1" si="8"/>
        <v>51</v>
      </c>
      <c r="M63" s="4"/>
      <c r="N63" s="5">
        <f t="shared" si="9"/>
        <v>1</v>
      </c>
      <c r="O63" s="1">
        <f t="shared" ca="1" si="10"/>
        <v>0</v>
      </c>
      <c r="P63" s="1">
        <f t="shared" ca="1" si="10"/>
        <v>1</v>
      </c>
      <c r="Q63" s="1">
        <f t="shared" ca="1" si="10"/>
        <v>1</v>
      </c>
    </row>
    <row r="64" spans="1:17" x14ac:dyDescent="0.3">
      <c r="A64" s="1" t="s">
        <v>101</v>
      </c>
      <c r="B64" s="1" t="s">
        <v>240</v>
      </c>
      <c r="C64" s="1" t="s">
        <v>20</v>
      </c>
      <c r="D64" s="3">
        <f t="shared" ca="1" si="1"/>
        <v>59259719</v>
      </c>
      <c r="E64" s="3">
        <f t="shared" ca="1" si="2"/>
        <v>8808463</v>
      </c>
      <c r="F64" s="3">
        <f t="shared" ca="1" si="3"/>
        <v>19</v>
      </c>
      <c r="G64" s="3">
        <f t="shared" ca="1" si="4"/>
        <v>8894658</v>
      </c>
      <c r="H64" s="3">
        <f t="shared" ca="1" si="5"/>
        <v>292</v>
      </c>
      <c r="I64" s="1" t="s">
        <v>33</v>
      </c>
      <c r="J64" s="3">
        <f t="shared" ca="1" si="6"/>
        <v>69257</v>
      </c>
      <c r="K64" s="3">
        <f t="shared" ca="1" si="7"/>
        <v>66</v>
      </c>
      <c r="L64" s="3">
        <f t="shared" ca="1" si="8"/>
        <v>38</v>
      </c>
      <c r="M64" s="4"/>
      <c r="N64" s="5">
        <f t="shared" si="9"/>
        <v>1</v>
      </c>
      <c r="O64" s="1">
        <f t="shared" ca="1" si="10"/>
        <v>0</v>
      </c>
      <c r="P64" s="1">
        <f t="shared" ca="1" si="10"/>
        <v>0</v>
      </c>
      <c r="Q64" s="1">
        <f t="shared" ca="1" si="10"/>
        <v>0</v>
      </c>
    </row>
    <row r="65" spans="1:17" x14ac:dyDescent="0.3">
      <c r="A65" s="1" t="s">
        <v>102</v>
      </c>
      <c r="B65" s="1" t="s">
        <v>240</v>
      </c>
      <c r="C65" s="1" t="s">
        <v>20</v>
      </c>
      <c r="D65" s="3">
        <f t="shared" ca="1" si="1"/>
        <v>23209988</v>
      </c>
      <c r="E65" s="3">
        <f t="shared" ca="1" si="2"/>
        <v>3579843</v>
      </c>
      <c r="F65" s="3">
        <f t="shared" ca="1" si="3"/>
        <v>367</v>
      </c>
      <c r="G65" s="3">
        <f t="shared" ca="1" si="4"/>
        <v>9582251</v>
      </c>
      <c r="H65" s="3">
        <f t="shared" ca="1" si="5"/>
        <v>311</v>
      </c>
      <c r="I65" s="1" t="s">
        <v>33</v>
      </c>
      <c r="J65" s="3">
        <f t="shared" ca="1" si="6"/>
        <v>428557</v>
      </c>
      <c r="K65" s="3">
        <f t="shared" ca="1" si="7"/>
        <v>371</v>
      </c>
      <c r="L65" s="3">
        <f t="shared" ca="1" si="8"/>
        <v>99</v>
      </c>
      <c r="M65" s="4"/>
      <c r="N65" s="5">
        <f t="shared" si="9"/>
        <v>1</v>
      </c>
      <c r="O65" s="1">
        <f t="shared" ca="1" si="10"/>
        <v>0</v>
      </c>
      <c r="P65" s="1">
        <f t="shared" ca="1" si="10"/>
        <v>0</v>
      </c>
      <c r="Q65" s="1">
        <f t="shared" ca="1" si="10"/>
        <v>1</v>
      </c>
    </row>
    <row r="66" spans="1:17" x14ac:dyDescent="0.3">
      <c r="A66" s="1" t="s">
        <v>103</v>
      </c>
      <c r="B66" s="1" t="s">
        <v>240</v>
      </c>
      <c r="C66" s="1" t="s">
        <v>20</v>
      </c>
      <c r="D66" s="3">
        <f t="shared" ca="1" si="1"/>
        <v>65234245</v>
      </c>
      <c r="E66" s="3">
        <f t="shared" ca="1" si="2"/>
        <v>8702941</v>
      </c>
      <c r="F66" s="3">
        <f t="shared" ca="1" si="3"/>
        <v>424</v>
      </c>
      <c r="G66" s="3">
        <f t="shared" ca="1" si="4"/>
        <v>5063198</v>
      </c>
      <c r="H66" s="3">
        <f t="shared" ca="1" si="5"/>
        <v>426</v>
      </c>
      <c r="I66" s="1" t="s">
        <v>38</v>
      </c>
      <c r="J66" s="3">
        <f t="shared" ca="1" si="6"/>
        <v>165807</v>
      </c>
      <c r="K66" s="3">
        <f t="shared" ca="1" si="7"/>
        <v>342</v>
      </c>
      <c r="L66" s="3">
        <f t="shared" ca="1" si="8"/>
        <v>93</v>
      </c>
      <c r="M66" s="4"/>
      <c r="N66" s="5">
        <f t="shared" si="9"/>
        <v>1</v>
      </c>
      <c r="O66" s="1">
        <f t="shared" ca="1" si="10"/>
        <v>0</v>
      </c>
      <c r="P66" s="1">
        <f t="shared" ca="1" si="10"/>
        <v>0</v>
      </c>
      <c r="Q66" s="1">
        <f t="shared" ca="1" si="10"/>
        <v>0</v>
      </c>
    </row>
    <row r="67" spans="1:17" x14ac:dyDescent="0.3">
      <c r="A67" s="1" t="s">
        <v>104</v>
      </c>
      <c r="B67" s="1" t="s">
        <v>240</v>
      </c>
      <c r="C67" s="1" t="s">
        <v>60</v>
      </c>
      <c r="D67" s="3">
        <f t="shared" ref="D67:D130" ca="1" si="11">RANDBETWEEN(9000001,100000000)</f>
        <v>53470980</v>
      </c>
      <c r="E67" s="3">
        <f t="shared" ref="E67:E130" ca="1" si="12">RANDBETWEEN(10,9000000)</f>
        <v>6001630</v>
      </c>
      <c r="F67" s="3">
        <f t="shared" ref="F67:F130" ca="1" si="13">RANDBETWEEN(1,500)</f>
        <v>214</v>
      </c>
      <c r="G67" s="3">
        <f t="shared" ref="G67:G130" ca="1" si="14">RANDBETWEEN(10,10000000)</f>
        <v>1195413</v>
      </c>
      <c r="H67" s="3">
        <f t="shared" ref="H67:H130" ca="1" si="15">RANDBETWEEN(1,500)</f>
        <v>426</v>
      </c>
      <c r="I67" s="1" t="s">
        <v>41</v>
      </c>
      <c r="J67" s="3">
        <f t="shared" ref="J67:J130" ca="1" si="16">RANDBETWEEN(10000,600000)</f>
        <v>442147</v>
      </c>
      <c r="K67" s="3">
        <f t="shared" ref="K67:K130" ca="1" si="17">RANDBETWEEN(0,550)</f>
        <v>188</v>
      </c>
      <c r="L67" s="3">
        <f t="shared" ref="L67:L130" ca="1" si="18">RANDBETWEEN(0,130)</f>
        <v>124</v>
      </c>
      <c r="M67" s="4"/>
      <c r="N67" s="5">
        <f t="shared" ref="N67:N130" si="19">1-M67</f>
        <v>1</v>
      </c>
      <c r="O67" s="1">
        <f t="shared" ref="O67:Q130" ca="1" si="20">RANDBETWEEN(0,1)</f>
        <v>1</v>
      </c>
      <c r="P67" s="1">
        <f t="shared" ca="1" si="20"/>
        <v>1</v>
      </c>
      <c r="Q67" s="1">
        <f t="shared" ca="1" si="20"/>
        <v>0</v>
      </c>
    </row>
    <row r="68" spans="1:17" x14ac:dyDescent="0.3">
      <c r="A68" s="1" t="s">
        <v>105</v>
      </c>
      <c r="B68" s="1" t="s">
        <v>240</v>
      </c>
      <c r="C68" s="1" t="s">
        <v>17</v>
      </c>
      <c r="D68" s="3">
        <f t="shared" ca="1" si="11"/>
        <v>83684621</v>
      </c>
      <c r="E68" s="3">
        <f t="shared" ca="1" si="12"/>
        <v>8883665</v>
      </c>
      <c r="F68" s="3">
        <f t="shared" ca="1" si="13"/>
        <v>186</v>
      </c>
      <c r="G68" s="3">
        <f t="shared" ca="1" si="14"/>
        <v>1098388</v>
      </c>
      <c r="H68" s="3">
        <f t="shared" ca="1" si="15"/>
        <v>97</v>
      </c>
      <c r="I68" s="1" t="s">
        <v>38</v>
      </c>
      <c r="J68" s="3">
        <f t="shared" ca="1" si="16"/>
        <v>585150</v>
      </c>
      <c r="K68" s="3">
        <f t="shared" ca="1" si="17"/>
        <v>97</v>
      </c>
      <c r="L68" s="3">
        <f t="shared" ca="1" si="18"/>
        <v>99</v>
      </c>
      <c r="M68" s="4"/>
      <c r="N68" s="5">
        <f t="shared" si="19"/>
        <v>1</v>
      </c>
      <c r="O68" s="1">
        <f t="shared" ca="1" si="20"/>
        <v>0</v>
      </c>
      <c r="P68" s="1">
        <f t="shared" ca="1" si="20"/>
        <v>0</v>
      </c>
      <c r="Q68" s="1">
        <f t="shared" ca="1" si="20"/>
        <v>1</v>
      </c>
    </row>
    <row r="69" spans="1:17" x14ac:dyDescent="0.3">
      <c r="A69" s="1" t="s">
        <v>106</v>
      </c>
      <c r="B69" s="1" t="s">
        <v>240</v>
      </c>
      <c r="C69" s="1" t="s">
        <v>20</v>
      </c>
      <c r="D69" s="3">
        <f t="shared" ca="1" si="11"/>
        <v>74955987</v>
      </c>
      <c r="E69" s="3">
        <f t="shared" ca="1" si="12"/>
        <v>5391117</v>
      </c>
      <c r="F69" s="3">
        <f t="shared" ca="1" si="13"/>
        <v>57</v>
      </c>
      <c r="G69" s="3">
        <f t="shared" ca="1" si="14"/>
        <v>5619191</v>
      </c>
      <c r="H69" s="3">
        <f t="shared" ca="1" si="15"/>
        <v>187</v>
      </c>
      <c r="I69" s="1" t="s">
        <v>41</v>
      </c>
      <c r="J69" s="3">
        <f t="shared" ca="1" si="16"/>
        <v>236755</v>
      </c>
      <c r="K69" s="3">
        <f t="shared" ca="1" si="17"/>
        <v>195</v>
      </c>
      <c r="L69" s="3">
        <f t="shared" ca="1" si="18"/>
        <v>58</v>
      </c>
      <c r="M69" s="4"/>
      <c r="N69" s="5">
        <f t="shared" si="19"/>
        <v>1</v>
      </c>
      <c r="O69" s="1">
        <f t="shared" ca="1" si="20"/>
        <v>0</v>
      </c>
      <c r="P69" s="1">
        <f t="shared" ca="1" si="20"/>
        <v>1</v>
      </c>
      <c r="Q69" s="1">
        <f t="shared" ca="1" si="20"/>
        <v>0</v>
      </c>
    </row>
    <row r="70" spans="1:17" x14ac:dyDescent="0.3">
      <c r="A70" s="1" t="s">
        <v>107</v>
      </c>
      <c r="B70" s="1" t="s">
        <v>240</v>
      </c>
      <c r="C70" s="1" t="s">
        <v>23</v>
      </c>
      <c r="D70" s="3">
        <f t="shared" ca="1" si="11"/>
        <v>95935756</v>
      </c>
      <c r="E70" s="3">
        <f t="shared" ca="1" si="12"/>
        <v>8293844</v>
      </c>
      <c r="F70" s="3">
        <f t="shared" ca="1" si="13"/>
        <v>88</v>
      </c>
      <c r="G70" s="3">
        <f t="shared" ca="1" si="14"/>
        <v>9192272</v>
      </c>
      <c r="H70" s="3">
        <f t="shared" ca="1" si="15"/>
        <v>226</v>
      </c>
      <c r="I70" s="1" t="s">
        <v>47</v>
      </c>
      <c r="J70" s="3">
        <f t="shared" ca="1" si="16"/>
        <v>471500</v>
      </c>
      <c r="K70" s="3">
        <f t="shared" ca="1" si="17"/>
        <v>148</v>
      </c>
      <c r="L70" s="3">
        <f t="shared" ca="1" si="18"/>
        <v>89</v>
      </c>
      <c r="M70" s="4"/>
      <c r="N70" s="5">
        <f t="shared" si="19"/>
        <v>1</v>
      </c>
      <c r="O70" s="1">
        <f t="shared" ca="1" si="20"/>
        <v>0</v>
      </c>
      <c r="P70" s="1">
        <f t="shared" ca="1" si="20"/>
        <v>1</v>
      </c>
      <c r="Q70" s="1">
        <f t="shared" ca="1" si="20"/>
        <v>0</v>
      </c>
    </row>
    <row r="71" spans="1:17" x14ac:dyDescent="0.3">
      <c r="A71" s="1" t="s">
        <v>108</v>
      </c>
      <c r="B71" s="1" t="s">
        <v>240</v>
      </c>
      <c r="C71" s="1" t="s">
        <v>25</v>
      </c>
      <c r="D71" s="3">
        <f t="shared" ca="1" si="11"/>
        <v>49969719</v>
      </c>
      <c r="E71" s="3">
        <f t="shared" ca="1" si="12"/>
        <v>4852936</v>
      </c>
      <c r="F71" s="3">
        <f t="shared" ca="1" si="13"/>
        <v>9</v>
      </c>
      <c r="G71" s="3">
        <f t="shared" ca="1" si="14"/>
        <v>4646627</v>
      </c>
      <c r="H71" s="3">
        <f t="shared" ca="1" si="15"/>
        <v>490</v>
      </c>
      <c r="I71" s="1" t="s">
        <v>47</v>
      </c>
      <c r="J71" s="3">
        <f t="shared" ca="1" si="16"/>
        <v>521174</v>
      </c>
      <c r="K71" s="3">
        <f t="shared" ca="1" si="17"/>
        <v>441</v>
      </c>
      <c r="L71" s="3">
        <f t="shared" ca="1" si="18"/>
        <v>21</v>
      </c>
      <c r="M71" s="4"/>
      <c r="N71" s="5">
        <f t="shared" si="19"/>
        <v>1</v>
      </c>
      <c r="O71" s="1">
        <f t="shared" ca="1" si="20"/>
        <v>1</v>
      </c>
      <c r="P71" s="1">
        <f t="shared" ca="1" si="20"/>
        <v>1</v>
      </c>
      <c r="Q71" s="1">
        <f t="shared" ca="1" si="20"/>
        <v>1</v>
      </c>
    </row>
    <row r="72" spans="1:17" x14ac:dyDescent="0.3">
      <c r="A72" s="1" t="s">
        <v>109</v>
      </c>
      <c r="B72" s="1" t="s">
        <v>240</v>
      </c>
      <c r="C72" s="1" t="s">
        <v>27</v>
      </c>
      <c r="D72" s="3">
        <f t="shared" ca="1" si="11"/>
        <v>44280097</v>
      </c>
      <c r="E72" s="3">
        <f t="shared" ca="1" si="12"/>
        <v>7957906</v>
      </c>
      <c r="F72" s="3">
        <f t="shared" ca="1" si="13"/>
        <v>91</v>
      </c>
      <c r="G72" s="3">
        <f t="shared" ca="1" si="14"/>
        <v>5039444</v>
      </c>
      <c r="H72" s="3">
        <f t="shared" ca="1" si="15"/>
        <v>7</v>
      </c>
      <c r="I72" s="1" t="s">
        <v>18</v>
      </c>
      <c r="J72" s="3">
        <f t="shared" ca="1" si="16"/>
        <v>300471</v>
      </c>
      <c r="K72" s="3">
        <f t="shared" ca="1" si="17"/>
        <v>378</v>
      </c>
      <c r="L72" s="3">
        <f t="shared" ca="1" si="18"/>
        <v>44</v>
      </c>
      <c r="M72" s="4"/>
      <c r="N72" s="5">
        <f t="shared" si="19"/>
        <v>1</v>
      </c>
      <c r="O72" s="1">
        <f t="shared" ca="1" si="20"/>
        <v>1</v>
      </c>
      <c r="P72" s="1">
        <f t="shared" ca="1" si="20"/>
        <v>0</v>
      </c>
      <c r="Q72" s="1">
        <f t="shared" ca="1" si="20"/>
        <v>0</v>
      </c>
    </row>
    <row r="73" spans="1:17" x14ac:dyDescent="0.3">
      <c r="A73" s="1" t="s">
        <v>110</v>
      </c>
      <c r="B73" s="1" t="s">
        <v>240</v>
      </c>
      <c r="C73" s="1" t="s">
        <v>30</v>
      </c>
      <c r="D73" s="3">
        <f t="shared" ca="1" si="11"/>
        <v>46529929</v>
      </c>
      <c r="E73" s="3">
        <f t="shared" ca="1" si="12"/>
        <v>7614872</v>
      </c>
      <c r="F73" s="3">
        <f t="shared" ca="1" si="13"/>
        <v>374</v>
      </c>
      <c r="G73" s="3">
        <f t="shared" ca="1" si="14"/>
        <v>5111772</v>
      </c>
      <c r="H73" s="3">
        <f t="shared" ca="1" si="15"/>
        <v>146</v>
      </c>
      <c r="I73" s="1" t="s">
        <v>21</v>
      </c>
      <c r="J73" s="3">
        <f t="shared" ca="1" si="16"/>
        <v>346073</v>
      </c>
      <c r="K73" s="3">
        <f t="shared" ca="1" si="17"/>
        <v>351</v>
      </c>
      <c r="L73" s="3">
        <f t="shared" ca="1" si="18"/>
        <v>2</v>
      </c>
      <c r="M73" s="4"/>
      <c r="N73" s="5">
        <f t="shared" si="19"/>
        <v>1</v>
      </c>
      <c r="O73" s="1">
        <f t="shared" ca="1" si="20"/>
        <v>1</v>
      </c>
      <c r="P73" s="1">
        <f t="shared" ca="1" si="20"/>
        <v>0</v>
      </c>
      <c r="Q73" s="1">
        <f t="shared" ca="1" si="20"/>
        <v>0</v>
      </c>
    </row>
    <row r="74" spans="1:17" x14ac:dyDescent="0.3">
      <c r="A74" s="1" t="s">
        <v>111</v>
      </c>
      <c r="B74" s="1" t="s">
        <v>240</v>
      </c>
      <c r="C74" s="1" t="s">
        <v>32</v>
      </c>
      <c r="D74" s="3">
        <f t="shared" ca="1" si="11"/>
        <v>24457393</v>
      </c>
      <c r="E74" s="3">
        <f t="shared" ca="1" si="12"/>
        <v>2121465</v>
      </c>
      <c r="F74" s="3">
        <f t="shared" ca="1" si="13"/>
        <v>160</v>
      </c>
      <c r="G74" s="3">
        <f t="shared" ca="1" si="14"/>
        <v>4173526</v>
      </c>
      <c r="H74" s="3">
        <f t="shared" ca="1" si="15"/>
        <v>38</v>
      </c>
      <c r="I74" s="1" t="s">
        <v>21</v>
      </c>
      <c r="J74" s="3">
        <f t="shared" ca="1" si="16"/>
        <v>514811</v>
      </c>
      <c r="K74" s="3">
        <f t="shared" ca="1" si="17"/>
        <v>230</v>
      </c>
      <c r="L74" s="3">
        <f t="shared" ca="1" si="18"/>
        <v>91</v>
      </c>
      <c r="M74" s="4"/>
      <c r="N74" s="5">
        <f t="shared" si="19"/>
        <v>1</v>
      </c>
      <c r="O74" s="1">
        <f t="shared" ca="1" si="20"/>
        <v>1</v>
      </c>
      <c r="P74" s="1">
        <f t="shared" ca="1" si="20"/>
        <v>0</v>
      </c>
      <c r="Q74" s="1">
        <f t="shared" ca="1" si="20"/>
        <v>0</v>
      </c>
    </row>
    <row r="75" spans="1:17" x14ac:dyDescent="0.3">
      <c r="A75" s="1" t="s">
        <v>112</v>
      </c>
      <c r="B75" s="1" t="s">
        <v>240</v>
      </c>
      <c r="C75" s="1" t="s">
        <v>35</v>
      </c>
      <c r="D75" s="3">
        <f t="shared" ca="1" si="11"/>
        <v>34648361</v>
      </c>
      <c r="E75" s="3">
        <f t="shared" ca="1" si="12"/>
        <v>5506360</v>
      </c>
      <c r="F75" s="3">
        <f t="shared" ca="1" si="13"/>
        <v>449</v>
      </c>
      <c r="G75" s="3">
        <f t="shared" ca="1" si="14"/>
        <v>2926964</v>
      </c>
      <c r="H75" s="3">
        <f t="shared" ca="1" si="15"/>
        <v>43</v>
      </c>
      <c r="I75" s="1" t="s">
        <v>18</v>
      </c>
      <c r="J75" s="3">
        <f t="shared" ca="1" si="16"/>
        <v>291525</v>
      </c>
      <c r="K75" s="3">
        <f t="shared" ca="1" si="17"/>
        <v>62</v>
      </c>
      <c r="L75" s="3">
        <f t="shared" ca="1" si="18"/>
        <v>19</v>
      </c>
      <c r="M75" s="4"/>
      <c r="N75" s="5">
        <f t="shared" si="19"/>
        <v>1</v>
      </c>
      <c r="O75" s="1">
        <f t="shared" ca="1" si="20"/>
        <v>0</v>
      </c>
      <c r="P75" s="1">
        <f t="shared" ca="1" si="20"/>
        <v>1</v>
      </c>
      <c r="Q75" s="1">
        <f t="shared" ca="1" si="20"/>
        <v>1</v>
      </c>
    </row>
    <row r="76" spans="1:17" x14ac:dyDescent="0.3">
      <c r="A76" s="1" t="s">
        <v>113</v>
      </c>
      <c r="B76" s="1" t="s">
        <v>240</v>
      </c>
      <c r="C76" s="1" t="s">
        <v>37</v>
      </c>
      <c r="D76" s="3">
        <f t="shared" ca="1" si="11"/>
        <v>20277566</v>
      </c>
      <c r="E76" s="3">
        <f t="shared" ca="1" si="12"/>
        <v>846476</v>
      </c>
      <c r="F76" s="3">
        <f t="shared" ca="1" si="13"/>
        <v>61</v>
      </c>
      <c r="G76" s="3">
        <f t="shared" ca="1" si="14"/>
        <v>2451076</v>
      </c>
      <c r="H76" s="3">
        <f t="shared" ca="1" si="15"/>
        <v>69</v>
      </c>
      <c r="I76" s="1" t="s">
        <v>28</v>
      </c>
      <c r="J76" s="3">
        <f t="shared" ca="1" si="16"/>
        <v>87389</v>
      </c>
      <c r="K76" s="3">
        <f t="shared" ca="1" si="17"/>
        <v>96</v>
      </c>
      <c r="L76" s="3">
        <f t="shared" ca="1" si="18"/>
        <v>116</v>
      </c>
      <c r="M76" s="4"/>
      <c r="N76" s="5">
        <f t="shared" si="19"/>
        <v>1</v>
      </c>
      <c r="O76" s="1">
        <f t="shared" ca="1" si="20"/>
        <v>1</v>
      </c>
      <c r="P76" s="1">
        <f t="shared" ca="1" si="20"/>
        <v>1</v>
      </c>
      <c r="Q76" s="1">
        <f t="shared" ca="1" si="20"/>
        <v>1</v>
      </c>
    </row>
    <row r="77" spans="1:17" x14ac:dyDescent="0.3">
      <c r="A77" s="1" t="s">
        <v>114</v>
      </c>
      <c r="B77" s="1" t="s">
        <v>240</v>
      </c>
      <c r="C77" s="1" t="s">
        <v>40</v>
      </c>
      <c r="D77" s="3">
        <f t="shared" ca="1" si="11"/>
        <v>86855739</v>
      </c>
      <c r="E77" s="3">
        <f t="shared" ca="1" si="12"/>
        <v>4581750</v>
      </c>
      <c r="F77" s="3">
        <f t="shared" ca="1" si="13"/>
        <v>302</v>
      </c>
      <c r="G77" s="3">
        <f t="shared" ca="1" si="14"/>
        <v>3943712</v>
      </c>
      <c r="H77" s="3">
        <f t="shared" ca="1" si="15"/>
        <v>209</v>
      </c>
      <c r="I77" s="1" t="s">
        <v>28</v>
      </c>
      <c r="J77" s="3">
        <f t="shared" ca="1" si="16"/>
        <v>135766</v>
      </c>
      <c r="K77" s="3">
        <f t="shared" ca="1" si="17"/>
        <v>56</v>
      </c>
      <c r="L77" s="3">
        <f t="shared" ca="1" si="18"/>
        <v>103</v>
      </c>
      <c r="M77" s="4"/>
      <c r="N77" s="5">
        <f t="shared" si="19"/>
        <v>1</v>
      </c>
      <c r="O77" s="1">
        <f t="shared" ca="1" si="20"/>
        <v>1</v>
      </c>
      <c r="P77" s="1">
        <f t="shared" ca="1" si="20"/>
        <v>0</v>
      </c>
      <c r="Q77" s="1">
        <f t="shared" ca="1" si="20"/>
        <v>1</v>
      </c>
    </row>
    <row r="78" spans="1:17" x14ac:dyDescent="0.3">
      <c r="A78" s="1" t="s">
        <v>115</v>
      </c>
      <c r="B78" s="1" t="s">
        <v>240</v>
      </c>
      <c r="C78" s="1" t="s">
        <v>43</v>
      </c>
      <c r="D78" s="3">
        <f t="shared" ca="1" si="11"/>
        <v>62315387</v>
      </c>
      <c r="E78" s="3">
        <f t="shared" ca="1" si="12"/>
        <v>4894336</v>
      </c>
      <c r="F78" s="3">
        <f t="shared" ca="1" si="13"/>
        <v>20</v>
      </c>
      <c r="G78" s="3">
        <f t="shared" ca="1" si="14"/>
        <v>1540386</v>
      </c>
      <c r="H78" s="3">
        <f t="shared" ca="1" si="15"/>
        <v>40</v>
      </c>
      <c r="I78" s="1" t="s">
        <v>33</v>
      </c>
      <c r="J78" s="3">
        <f t="shared" ca="1" si="16"/>
        <v>99153</v>
      </c>
      <c r="K78" s="3">
        <f t="shared" ca="1" si="17"/>
        <v>353</v>
      </c>
      <c r="L78" s="3">
        <f t="shared" ca="1" si="18"/>
        <v>5</v>
      </c>
      <c r="M78" s="4"/>
      <c r="N78" s="5">
        <f t="shared" si="19"/>
        <v>1</v>
      </c>
      <c r="O78" s="1">
        <f t="shared" ca="1" si="20"/>
        <v>1</v>
      </c>
      <c r="P78" s="1">
        <f t="shared" ca="1" si="20"/>
        <v>0</v>
      </c>
      <c r="Q78" s="1">
        <f t="shared" ca="1" si="20"/>
        <v>1</v>
      </c>
    </row>
    <row r="79" spans="1:17" x14ac:dyDescent="0.3">
      <c r="A79" s="1" t="s">
        <v>116</v>
      </c>
      <c r="B79" s="1" t="s">
        <v>240</v>
      </c>
      <c r="C79" s="1" t="s">
        <v>45</v>
      </c>
      <c r="D79" s="3">
        <f t="shared" ca="1" si="11"/>
        <v>90967160</v>
      </c>
      <c r="E79" s="3">
        <f t="shared" ca="1" si="12"/>
        <v>4394316</v>
      </c>
      <c r="F79" s="3">
        <f t="shared" ca="1" si="13"/>
        <v>472</v>
      </c>
      <c r="G79" s="3">
        <f t="shared" ca="1" si="14"/>
        <v>8765685</v>
      </c>
      <c r="H79" s="3">
        <f t="shared" ca="1" si="15"/>
        <v>326</v>
      </c>
      <c r="I79" s="1" t="s">
        <v>33</v>
      </c>
      <c r="J79" s="3">
        <f t="shared" ca="1" si="16"/>
        <v>504941</v>
      </c>
      <c r="K79" s="3">
        <f t="shared" ca="1" si="17"/>
        <v>280</v>
      </c>
      <c r="L79" s="3">
        <f t="shared" ca="1" si="18"/>
        <v>20</v>
      </c>
      <c r="M79" s="4"/>
      <c r="N79" s="5">
        <f t="shared" si="19"/>
        <v>1</v>
      </c>
      <c r="O79" s="1">
        <f t="shared" ca="1" si="20"/>
        <v>1</v>
      </c>
      <c r="P79" s="1">
        <f t="shared" ca="1" si="20"/>
        <v>0</v>
      </c>
      <c r="Q79" s="1">
        <f t="shared" ca="1" si="20"/>
        <v>0</v>
      </c>
    </row>
    <row r="80" spans="1:17" x14ac:dyDescent="0.3">
      <c r="A80" s="1" t="s">
        <v>117</v>
      </c>
      <c r="B80" s="1" t="s">
        <v>240</v>
      </c>
      <c r="C80" s="1" t="s">
        <v>23</v>
      </c>
      <c r="D80" s="3">
        <f t="shared" ca="1" si="11"/>
        <v>60156780</v>
      </c>
      <c r="E80" s="3">
        <f t="shared" ca="1" si="12"/>
        <v>3114949</v>
      </c>
      <c r="F80" s="3">
        <f t="shared" ca="1" si="13"/>
        <v>295</v>
      </c>
      <c r="G80" s="3">
        <f t="shared" ca="1" si="14"/>
        <v>667962</v>
      </c>
      <c r="H80" s="3">
        <f t="shared" ca="1" si="15"/>
        <v>423</v>
      </c>
      <c r="I80" s="1" t="s">
        <v>38</v>
      </c>
      <c r="J80" s="3">
        <f t="shared" ca="1" si="16"/>
        <v>14867</v>
      </c>
      <c r="K80" s="3">
        <f t="shared" ca="1" si="17"/>
        <v>125</v>
      </c>
      <c r="L80" s="3">
        <f t="shared" ca="1" si="18"/>
        <v>124</v>
      </c>
      <c r="M80" s="4"/>
      <c r="N80" s="5">
        <f t="shared" si="19"/>
        <v>1</v>
      </c>
      <c r="O80" s="1">
        <f t="shared" ca="1" si="20"/>
        <v>1</v>
      </c>
      <c r="P80" s="1">
        <f t="shared" ca="1" si="20"/>
        <v>0</v>
      </c>
      <c r="Q80" s="1">
        <f t="shared" ca="1" si="20"/>
        <v>0</v>
      </c>
    </row>
    <row r="81" spans="1:17" x14ac:dyDescent="0.3">
      <c r="A81" s="1" t="s">
        <v>118</v>
      </c>
      <c r="B81" s="1" t="s">
        <v>240</v>
      </c>
      <c r="C81" s="1" t="s">
        <v>49</v>
      </c>
      <c r="D81" s="3">
        <f t="shared" ca="1" si="11"/>
        <v>36418421</v>
      </c>
      <c r="E81" s="3">
        <f t="shared" ca="1" si="12"/>
        <v>1890853</v>
      </c>
      <c r="F81" s="3">
        <f t="shared" ca="1" si="13"/>
        <v>233</v>
      </c>
      <c r="G81" s="3">
        <f t="shared" ca="1" si="14"/>
        <v>1226544</v>
      </c>
      <c r="H81" s="3">
        <f t="shared" ca="1" si="15"/>
        <v>451</v>
      </c>
      <c r="I81" s="1" t="s">
        <v>41</v>
      </c>
      <c r="J81" s="3">
        <f t="shared" ca="1" si="16"/>
        <v>553037</v>
      </c>
      <c r="K81" s="3">
        <f t="shared" ca="1" si="17"/>
        <v>281</v>
      </c>
      <c r="L81" s="3">
        <f t="shared" ca="1" si="18"/>
        <v>76</v>
      </c>
      <c r="M81" s="4"/>
      <c r="N81" s="5">
        <f t="shared" si="19"/>
        <v>1</v>
      </c>
      <c r="O81" s="1">
        <f t="shared" ca="1" si="20"/>
        <v>1</v>
      </c>
      <c r="P81" s="1">
        <f t="shared" ca="1" si="20"/>
        <v>1</v>
      </c>
      <c r="Q81" s="1">
        <f t="shared" ca="1" si="20"/>
        <v>1</v>
      </c>
    </row>
    <row r="82" spans="1:17" x14ac:dyDescent="0.3">
      <c r="A82" s="1" t="s">
        <v>119</v>
      </c>
      <c r="B82" s="1" t="s">
        <v>240</v>
      </c>
      <c r="C82" s="1" t="s">
        <v>49</v>
      </c>
      <c r="D82" s="3">
        <f t="shared" ca="1" si="11"/>
        <v>84382345</v>
      </c>
      <c r="E82" s="3">
        <f t="shared" ca="1" si="12"/>
        <v>6324380</v>
      </c>
      <c r="F82" s="3">
        <f t="shared" ca="1" si="13"/>
        <v>437</v>
      </c>
      <c r="G82" s="3">
        <f t="shared" ca="1" si="14"/>
        <v>2487087</v>
      </c>
      <c r="H82" s="3">
        <f t="shared" ca="1" si="15"/>
        <v>186</v>
      </c>
      <c r="I82" s="1" t="s">
        <v>38</v>
      </c>
      <c r="J82" s="3">
        <f t="shared" ca="1" si="16"/>
        <v>370413</v>
      </c>
      <c r="K82" s="3">
        <f t="shared" ca="1" si="17"/>
        <v>177</v>
      </c>
      <c r="L82" s="3">
        <f t="shared" ca="1" si="18"/>
        <v>104</v>
      </c>
      <c r="M82" s="4"/>
      <c r="N82" s="5">
        <f t="shared" si="19"/>
        <v>1</v>
      </c>
      <c r="O82" s="1">
        <f t="shared" ca="1" si="20"/>
        <v>0</v>
      </c>
      <c r="P82" s="1">
        <f t="shared" ca="1" si="20"/>
        <v>0</v>
      </c>
      <c r="Q82" s="1">
        <f t="shared" ca="1" si="20"/>
        <v>0</v>
      </c>
    </row>
    <row r="83" spans="1:17" x14ac:dyDescent="0.3">
      <c r="A83" s="1" t="s">
        <v>120</v>
      </c>
      <c r="B83" s="1" t="s">
        <v>240</v>
      </c>
      <c r="C83" s="1" t="s">
        <v>52</v>
      </c>
      <c r="D83" s="3">
        <f t="shared" ca="1" si="11"/>
        <v>68512026</v>
      </c>
      <c r="E83" s="3">
        <f t="shared" ca="1" si="12"/>
        <v>446807</v>
      </c>
      <c r="F83" s="3">
        <f t="shared" ca="1" si="13"/>
        <v>153</v>
      </c>
      <c r="G83" s="3">
        <f t="shared" ca="1" si="14"/>
        <v>882391</v>
      </c>
      <c r="H83" s="3">
        <f t="shared" ca="1" si="15"/>
        <v>389</v>
      </c>
      <c r="I83" s="1" t="s">
        <v>41</v>
      </c>
      <c r="J83" s="3">
        <f t="shared" ca="1" si="16"/>
        <v>373663</v>
      </c>
      <c r="K83" s="3">
        <f t="shared" ca="1" si="17"/>
        <v>487</v>
      </c>
      <c r="L83" s="3">
        <f t="shared" ca="1" si="18"/>
        <v>33</v>
      </c>
      <c r="M83" s="4"/>
      <c r="N83" s="5">
        <f t="shared" si="19"/>
        <v>1</v>
      </c>
      <c r="O83" s="1">
        <f t="shared" ca="1" si="20"/>
        <v>1</v>
      </c>
      <c r="P83" s="1">
        <f t="shared" ca="1" si="20"/>
        <v>0</v>
      </c>
      <c r="Q83" s="1">
        <f t="shared" ca="1" si="20"/>
        <v>0</v>
      </c>
    </row>
    <row r="84" spans="1:17" x14ac:dyDescent="0.3">
      <c r="A84" s="1" t="s">
        <v>121</v>
      </c>
      <c r="B84" s="1" t="s">
        <v>240</v>
      </c>
      <c r="C84" s="1" t="s">
        <v>54</v>
      </c>
      <c r="D84" s="3">
        <f t="shared" ca="1" si="11"/>
        <v>12419397</v>
      </c>
      <c r="E84" s="3">
        <f t="shared" ca="1" si="12"/>
        <v>4195960</v>
      </c>
      <c r="F84" s="3">
        <f t="shared" ca="1" si="13"/>
        <v>25</v>
      </c>
      <c r="G84" s="3">
        <f t="shared" ca="1" si="14"/>
        <v>1708447</v>
      </c>
      <c r="H84" s="3">
        <f t="shared" ca="1" si="15"/>
        <v>457</v>
      </c>
      <c r="I84" s="1" t="s">
        <v>47</v>
      </c>
      <c r="J84" s="3">
        <f t="shared" ca="1" si="16"/>
        <v>405251</v>
      </c>
      <c r="K84" s="3">
        <f t="shared" ca="1" si="17"/>
        <v>206</v>
      </c>
      <c r="L84" s="3">
        <f t="shared" ca="1" si="18"/>
        <v>3</v>
      </c>
      <c r="M84" s="4"/>
      <c r="N84" s="5">
        <f t="shared" si="19"/>
        <v>1</v>
      </c>
      <c r="O84" s="1">
        <f t="shared" ca="1" si="20"/>
        <v>1</v>
      </c>
      <c r="P84" s="1">
        <f t="shared" ca="1" si="20"/>
        <v>1</v>
      </c>
      <c r="Q84" s="1">
        <f t="shared" ca="1" si="20"/>
        <v>0</v>
      </c>
    </row>
    <row r="85" spans="1:17" x14ac:dyDescent="0.3">
      <c r="A85" s="1" t="s">
        <v>122</v>
      </c>
      <c r="B85" s="1" t="s">
        <v>240</v>
      </c>
      <c r="C85" s="1" t="s">
        <v>54</v>
      </c>
      <c r="D85" s="3">
        <f t="shared" ca="1" si="11"/>
        <v>96168407</v>
      </c>
      <c r="E85" s="3">
        <f t="shared" ca="1" si="12"/>
        <v>8671887</v>
      </c>
      <c r="F85" s="3">
        <f t="shared" ca="1" si="13"/>
        <v>146</v>
      </c>
      <c r="G85" s="3">
        <f t="shared" ca="1" si="14"/>
        <v>3194154</v>
      </c>
      <c r="H85" s="3">
        <f t="shared" ca="1" si="15"/>
        <v>467</v>
      </c>
      <c r="I85" s="1" t="s">
        <v>47</v>
      </c>
      <c r="J85" s="3">
        <f t="shared" ca="1" si="16"/>
        <v>33044</v>
      </c>
      <c r="K85" s="3">
        <f t="shared" ca="1" si="17"/>
        <v>258</v>
      </c>
      <c r="L85" s="3">
        <f t="shared" ca="1" si="18"/>
        <v>69</v>
      </c>
      <c r="M85" s="4"/>
      <c r="N85" s="5">
        <f t="shared" si="19"/>
        <v>1</v>
      </c>
      <c r="O85" s="1">
        <f t="shared" ca="1" si="20"/>
        <v>1</v>
      </c>
      <c r="P85" s="1">
        <f t="shared" ca="1" si="20"/>
        <v>0</v>
      </c>
      <c r="Q85" s="1">
        <f t="shared" ca="1" si="20"/>
        <v>0</v>
      </c>
    </row>
    <row r="86" spans="1:17" x14ac:dyDescent="0.3">
      <c r="A86" s="1" t="s">
        <v>123</v>
      </c>
      <c r="B86" s="1" t="s">
        <v>240</v>
      </c>
      <c r="C86" s="1" t="s">
        <v>20</v>
      </c>
      <c r="D86" s="3">
        <f t="shared" ca="1" si="11"/>
        <v>45387017</v>
      </c>
      <c r="E86" s="3">
        <f t="shared" ca="1" si="12"/>
        <v>3825075</v>
      </c>
      <c r="F86" s="3">
        <f t="shared" ca="1" si="13"/>
        <v>399</v>
      </c>
      <c r="G86" s="3">
        <f t="shared" ca="1" si="14"/>
        <v>1921822</v>
      </c>
      <c r="H86" s="3">
        <f t="shared" ca="1" si="15"/>
        <v>147</v>
      </c>
      <c r="I86" s="1" t="s">
        <v>18</v>
      </c>
      <c r="J86" s="3">
        <f t="shared" ca="1" si="16"/>
        <v>334458</v>
      </c>
      <c r="K86" s="3">
        <f t="shared" ca="1" si="17"/>
        <v>250</v>
      </c>
      <c r="L86" s="3">
        <f t="shared" ca="1" si="18"/>
        <v>90</v>
      </c>
      <c r="M86" s="4"/>
      <c r="N86" s="5">
        <f t="shared" si="19"/>
        <v>1</v>
      </c>
      <c r="O86" s="1">
        <f t="shared" ca="1" si="20"/>
        <v>0</v>
      </c>
      <c r="P86" s="1">
        <f t="shared" ca="1" si="20"/>
        <v>0</v>
      </c>
      <c r="Q86" s="1">
        <f t="shared" ca="1" si="20"/>
        <v>0</v>
      </c>
    </row>
    <row r="87" spans="1:17" x14ac:dyDescent="0.3">
      <c r="A87" s="1" t="s">
        <v>124</v>
      </c>
      <c r="B87" s="1" t="s">
        <v>240</v>
      </c>
      <c r="C87" s="1" t="s">
        <v>20</v>
      </c>
      <c r="D87" s="3">
        <f t="shared" ca="1" si="11"/>
        <v>72915094</v>
      </c>
      <c r="E87" s="3">
        <f t="shared" ca="1" si="12"/>
        <v>2634449</v>
      </c>
      <c r="F87" s="3">
        <f t="shared" ca="1" si="13"/>
        <v>94</v>
      </c>
      <c r="G87" s="3">
        <f t="shared" ca="1" si="14"/>
        <v>4961237</v>
      </c>
      <c r="H87" s="3">
        <f t="shared" ca="1" si="15"/>
        <v>169</v>
      </c>
      <c r="I87" s="1" t="s">
        <v>21</v>
      </c>
      <c r="J87" s="3">
        <f t="shared" ca="1" si="16"/>
        <v>205700</v>
      </c>
      <c r="K87" s="3">
        <f t="shared" ca="1" si="17"/>
        <v>194</v>
      </c>
      <c r="L87" s="3">
        <f t="shared" ca="1" si="18"/>
        <v>35</v>
      </c>
      <c r="M87" s="4"/>
      <c r="N87" s="5">
        <f t="shared" si="19"/>
        <v>1</v>
      </c>
      <c r="O87" s="1">
        <f t="shared" ca="1" si="20"/>
        <v>0</v>
      </c>
      <c r="P87" s="1">
        <f t="shared" ca="1" si="20"/>
        <v>0</v>
      </c>
      <c r="Q87" s="1">
        <f t="shared" ca="1" si="20"/>
        <v>1</v>
      </c>
    </row>
    <row r="88" spans="1:17" x14ac:dyDescent="0.3">
      <c r="A88" s="1" t="s">
        <v>125</v>
      </c>
      <c r="B88" s="1" t="s">
        <v>240</v>
      </c>
      <c r="C88" s="1" t="s">
        <v>20</v>
      </c>
      <c r="D88" s="3">
        <f t="shared" ca="1" si="11"/>
        <v>68038049</v>
      </c>
      <c r="E88" s="3">
        <f t="shared" ca="1" si="12"/>
        <v>6810157</v>
      </c>
      <c r="F88" s="3">
        <f t="shared" ca="1" si="13"/>
        <v>493</v>
      </c>
      <c r="G88" s="3">
        <f t="shared" ca="1" si="14"/>
        <v>1351607</v>
      </c>
      <c r="H88" s="3">
        <f t="shared" ca="1" si="15"/>
        <v>84</v>
      </c>
      <c r="I88" s="1" t="s">
        <v>21</v>
      </c>
      <c r="J88" s="3">
        <f t="shared" ca="1" si="16"/>
        <v>160276</v>
      </c>
      <c r="K88" s="3">
        <f t="shared" ca="1" si="17"/>
        <v>398</v>
      </c>
      <c r="L88" s="3">
        <f t="shared" ca="1" si="18"/>
        <v>42</v>
      </c>
      <c r="M88" s="4"/>
      <c r="N88" s="5">
        <f t="shared" si="19"/>
        <v>1</v>
      </c>
      <c r="O88" s="1">
        <f t="shared" ca="1" si="20"/>
        <v>1</v>
      </c>
      <c r="P88" s="1">
        <f t="shared" ca="1" si="20"/>
        <v>0</v>
      </c>
      <c r="Q88" s="1">
        <f t="shared" ca="1" si="20"/>
        <v>1</v>
      </c>
    </row>
    <row r="89" spans="1:17" x14ac:dyDescent="0.3">
      <c r="A89" s="1" t="s">
        <v>126</v>
      </c>
      <c r="B89" s="1" t="s">
        <v>240</v>
      </c>
      <c r="C89" s="1" t="s">
        <v>60</v>
      </c>
      <c r="D89" s="3">
        <f t="shared" ca="1" si="11"/>
        <v>18342872</v>
      </c>
      <c r="E89" s="3">
        <f t="shared" ca="1" si="12"/>
        <v>6855279</v>
      </c>
      <c r="F89" s="3">
        <f t="shared" ca="1" si="13"/>
        <v>359</v>
      </c>
      <c r="G89" s="3">
        <f t="shared" ca="1" si="14"/>
        <v>193809</v>
      </c>
      <c r="H89" s="3">
        <f t="shared" ca="1" si="15"/>
        <v>286</v>
      </c>
      <c r="I89" s="1" t="s">
        <v>18</v>
      </c>
      <c r="J89" s="3">
        <f t="shared" ca="1" si="16"/>
        <v>99258</v>
      </c>
      <c r="K89" s="3">
        <f t="shared" ca="1" si="17"/>
        <v>518</v>
      </c>
      <c r="L89" s="3">
        <f t="shared" ca="1" si="18"/>
        <v>129</v>
      </c>
      <c r="M89" s="4"/>
      <c r="N89" s="5">
        <f t="shared" si="19"/>
        <v>1</v>
      </c>
      <c r="O89" s="1">
        <f t="shared" ca="1" si="20"/>
        <v>1</v>
      </c>
      <c r="P89" s="1">
        <f t="shared" ca="1" si="20"/>
        <v>0</v>
      </c>
      <c r="Q89" s="1">
        <f t="shared" ca="1" si="20"/>
        <v>1</v>
      </c>
    </row>
    <row r="90" spans="1:17" x14ac:dyDescent="0.3">
      <c r="A90" s="1" t="s">
        <v>127</v>
      </c>
      <c r="B90" s="1" t="s">
        <v>240</v>
      </c>
      <c r="C90" s="1" t="s">
        <v>17</v>
      </c>
      <c r="D90" s="3">
        <f t="shared" ca="1" si="11"/>
        <v>90042756</v>
      </c>
      <c r="E90" s="3">
        <f t="shared" ca="1" si="12"/>
        <v>6588649</v>
      </c>
      <c r="F90" s="3">
        <f t="shared" ca="1" si="13"/>
        <v>312</v>
      </c>
      <c r="G90" s="3">
        <f t="shared" ca="1" si="14"/>
        <v>632141</v>
      </c>
      <c r="H90" s="3">
        <f t="shared" ca="1" si="15"/>
        <v>168</v>
      </c>
      <c r="I90" s="1" t="s">
        <v>28</v>
      </c>
      <c r="J90" s="3">
        <f t="shared" ca="1" si="16"/>
        <v>164655</v>
      </c>
      <c r="K90" s="3">
        <f t="shared" ca="1" si="17"/>
        <v>546</v>
      </c>
      <c r="L90" s="3">
        <f t="shared" ca="1" si="18"/>
        <v>100</v>
      </c>
      <c r="M90" s="4"/>
      <c r="N90" s="5">
        <f t="shared" si="19"/>
        <v>1</v>
      </c>
      <c r="O90" s="1">
        <f t="shared" ca="1" si="20"/>
        <v>0</v>
      </c>
      <c r="P90" s="1">
        <f t="shared" ca="1" si="20"/>
        <v>1</v>
      </c>
      <c r="Q90" s="1">
        <f t="shared" ca="1" si="20"/>
        <v>1</v>
      </c>
    </row>
    <row r="91" spans="1:17" x14ac:dyDescent="0.3">
      <c r="A91" s="1" t="s">
        <v>128</v>
      </c>
      <c r="B91" s="1" t="s">
        <v>240</v>
      </c>
      <c r="C91" s="1" t="s">
        <v>20</v>
      </c>
      <c r="D91" s="3">
        <f t="shared" ca="1" si="11"/>
        <v>69607495</v>
      </c>
      <c r="E91" s="3">
        <f t="shared" ca="1" si="12"/>
        <v>2360505</v>
      </c>
      <c r="F91" s="3">
        <f t="shared" ca="1" si="13"/>
        <v>103</v>
      </c>
      <c r="G91" s="3">
        <f t="shared" ca="1" si="14"/>
        <v>7268674</v>
      </c>
      <c r="H91" s="3">
        <f t="shared" ca="1" si="15"/>
        <v>214</v>
      </c>
      <c r="I91" s="1" t="s">
        <v>28</v>
      </c>
      <c r="J91" s="3">
        <f t="shared" ca="1" si="16"/>
        <v>419357</v>
      </c>
      <c r="K91" s="3">
        <f t="shared" ca="1" si="17"/>
        <v>22</v>
      </c>
      <c r="L91" s="3">
        <f t="shared" ca="1" si="18"/>
        <v>105</v>
      </c>
      <c r="M91" s="4"/>
      <c r="N91" s="5">
        <f t="shared" si="19"/>
        <v>1</v>
      </c>
      <c r="O91" s="1">
        <f t="shared" ca="1" si="20"/>
        <v>0</v>
      </c>
      <c r="P91" s="1">
        <f t="shared" ca="1" si="20"/>
        <v>0</v>
      </c>
      <c r="Q91" s="1">
        <f t="shared" ca="1" si="20"/>
        <v>0</v>
      </c>
    </row>
    <row r="92" spans="1:17" x14ac:dyDescent="0.3">
      <c r="A92" s="1" t="s">
        <v>129</v>
      </c>
      <c r="B92" s="1" t="s">
        <v>240</v>
      </c>
      <c r="C92" s="1" t="s">
        <v>23</v>
      </c>
      <c r="D92" s="3">
        <f t="shared" ca="1" si="11"/>
        <v>72132876</v>
      </c>
      <c r="E92" s="3">
        <f t="shared" ca="1" si="12"/>
        <v>5829350</v>
      </c>
      <c r="F92" s="3">
        <f t="shared" ca="1" si="13"/>
        <v>379</v>
      </c>
      <c r="G92" s="3">
        <f t="shared" ca="1" si="14"/>
        <v>7358322</v>
      </c>
      <c r="H92" s="3">
        <f t="shared" ca="1" si="15"/>
        <v>414</v>
      </c>
      <c r="I92" s="1" t="s">
        <v>33</v>
      </c>
      <c r="J92" s="3">
        <f t="shared" ca="1" si="16"/>
        <v>295407</v>
      </c>
      <c r="K92" s="3">
        <f t="shared" ca="1" si="17"/>
        <v>258</v>
      </c>
      <c r="L92" s="3">
        <f t="shared" ca="1" si="18"/>
        <v>74</v>
      </c>
      <c r="M92" s="4"/>
      <c r="N92" s="5">
        <f t="shared" si="19"/>
        <v>1</v>
      </c>
      <c r="O92" s="1">
        <f t="shared" ca="1" si="20"/>
        <v>0</v>
      </c>
      <c r="P92" s="1">
        <f t="shared" ca="1" si="20"/>
        <v>0</v>
      </c>
      <c r="Q92" s="1">
        <f t="shared" ca="1" si="20"/>
        <v>1</v>
      </c>
    </row>
    <row r="93" spans="1:17" x14ac:dyDescent="0.3">
      <c r="A93" s="1" t="s">
        <v>130</v>
      </c>
      <c r="B93" s="1" t="s">
        <v>240</v>
      </c>
      <c r="C93" s="1" t="s">
        <v>25</v>
      </c>
      <c r="D93" s="3">
        <f t="shared" ca="1" si="11"/>
        <v>47891570</v>
      </c>
      <c r="E93" s="3">
        <f t="shared" ca="1" si="12"/>
        <v>5672121</v>
      </c>
      <c r="F93" s="3">
        <f t="shared" ca="1" si="13"/>
        <v>234</v>
      </c>
      <c r="G93" s="3">
        <f t="shared" ca="1" si="14"/>
        <v>972823</v>
      </c>
      <c r="H93" s="3">
        <f t="shared" ca="1" si="15"/>
        <v>319</v>
      </c>
      <c r="I93" s="1" t="s">
        <v>33</v>
      </c>
      <c r="J93" s="3">
        <f t="shared" ca="1" si="16"/>
        <v>212307</v>
      </c>
      <c r="K93" s="3">
        <f t="shared" ca="1" si="17"/>
        <v>400</v>
      </c>
      <c r="L93" s="3">
        <f t="shared" ca="1" si="18"/>
        <v>85</v>
      </c>
      <c r="M93" s="4"/>
      <c r="N93" s="5">
        <f t="shared" si="19"/>
        <v>1</v>
      </c>
      <c r="O93" s="1">
        <f t="shared" ca="1" si="20"/>
        <v>1</v>
      </c>
      <c r="P93" s="1">
        <f t="shared" ca="1" si="20"/>
        <v>1</v>
      </c>
      <c r="Q93" s="1">
        <f t="shared" ca="1" si="20"/>
        <v>0</v>
      </c>
    </row>
    <row r="94" spans="1:17" x14ac:dyDescent="0.3">
      <c r="A94" s="1" t="s">
        <v>131</v>
      </c>
      <c r="B94" s="1" t="s">
        <v>240</v>
      </c>
      <c r="C94" s="1" t="s">
        <v>27</v>
      </c>
      <c r="D94" s="3">
        <f t="shared" ca="1" si="11"/>
        <v>65084927</v>
      </c>
      <c r="E94" s="3">
        <f t="shared" ca="1" si="12"/>
        <v>1822773</v>
      </c>
      <c r="F94" s="3">
        <f t="shared" ca="1" si="13"/>
        <v>192</v>
      </c>
      <c r="G94" s="3">
        <f t="shared" ca="1" si="14"/>
        <v>1305517</v>
      </c>
      <c r="H94" s="3">
        <f t="shared" ca="1" si="15"/>
        <v>279</v>
      </c>
      <c r="I94" s="1" t="s">
        <v>38</v>
      </c>
      <c r="J94" s="3">
        <f t="shared" ca="1" si="16"/>
        <v>224063</v>
      </c>
      <c r="K94" s="3">
        <f t="shared" ca="1" si="17"/>
        <v>311</v>
      </c>
      <c r="L94" s="3">
        <f t="shared" ca="1" si="18"/>
        <v>80</v>
      </c>
      <c r="M94" s="4"/>
      <c r="N94" s="5">
        <f t="shared" si="19"/>
        <v>1</v>
      </c>
      <c r="O94" s="1">
        <f t="shared" ca="1" si="20"/>
        <v>0</v>
      </c>
      <c r="P94" s="1">
        <f t="shared" ca="1" si="20"/>
        <v>1</v>
      </c>
      <c r="Q94" s="1">
        <f t="shared" ca="1" si="20"/>
        <v>1</v>
      </c>
    </row>
    <row r="95" spans="1:17" x14ac:dyDescent="0.3">
      <c r="A95" s="1" t="s">
        <v>132</v>
      </c>
      <c r="B95" s="1" t="s">
        <v>240</v>
      </c>
      <c r="C95" s="1" t="s">
        <v>30</v>
      </c>
      <c r="D95" s="3">
        <f t="shared" ca="1" si="11"/>
        <v>94861386</v>
      </c>
      <c r="E95" s="3">
        <f t="shared" ca="1" si="12"/>
        <v>7558240</v>
      </c>
      <c r="F95" s="3">
        <f t="shared" ca="1" si="13"/>
        <v>158</v>
      </c>
      <c r="G95" s="3">
        <f t="shared" ca="1" si="14"/>
        <v>4890476</v>
      </c>
      <c r="H95" s="3">
        <f t="shared" ca="1" si="15"/>
        <v>270</v>
      </c>
      <c r="I95" s="1" t="s">
        <v>41</v>
      </c>
      <c r="J95" s="3">
        <f t="shared" ca="1" si="16"/>
        <v>498215</v>
      </c>
      <c r="K95" s="3">
        <f t="shared" ca="1" si="17"/>
        <v>365</v>
      </c>
      <c r="L95" s="3">
        <f t="shared" ca="1" si="18"/>
        <v>26</v>
      </c>
      <c r="M95" s="4"/>
      <c r="N95" s="5">
        <f t="shared" si="19"/>
        <v>1</v>
      </c>
      <c r="O95" s="1">
        <f t="shared" ca="1" si="20"/>
        <v>1</v>
      </c>
      <c r="P95" s="1">
        <f t="shared" ca="1" si="20"/>
        <v>1</v>
      </c>
      <c r="Q95" s="1">
        <f t="shared" ca="1" si="20"/>
        <v>1</v>
      </c>
    </row>
    <row r="96" spans="1:17" x14ac:dyDescent="0.3">
      <c r="A96" s="1" t="s">
        <v>133</v>
      </c>
      <c r="B96" s="1" t="s">
        <v>240</v>
      </c>
      <c r="C96" s="1" t="s">
        <v>32</v>
      </c>
      <c r="D96" s="3">
        <f t="shared" ca="1" si="11"/>
        <v>22165822</v>
      </c>
      <c r="E96" s="3">
        <f t="shared" ca="1" si="12"/>
        <v>7250443</v>
      </c>
      <c r="F96" s="3">
        <f t="shared" ca="1" si="13"/>
        <v>300</v>
      </c>
      <c r="G96" s="3">
        <f t="shared" ca="1" si="14"/>
        <v>7648911</v>
      </c>
      <c r="H96" s="3">
        <f t="shared" ca="1" si="15"/>
        <v>39</v>
      </c>
      <c r="I96" s="1" t="s">
        <v>38</v>
      </c>
      <c r="J96" s="3">
        <f t="shared" ca="1" si="16"/>
        <v>28494</v>
      </c>
      <c r="K96" s="3">
        <f t="shared" ca="1" si="17"/>
        <v>350</v>
      </c>
      <c r="L96" s="3">
        <f t="shared" ca="1" si="18"/>
        <v>78</v>
      </c>
      <c r="M96" s="4"/>
      <c r="N96" s="5">
        <f t="shared" si="19"/>
        <v>1</v>
      </c>
      <c r="O96" s="1">
        <f t="shared" ca="1" si="20"/>
        <v>0</v>
      </c>
      <c r="P96" s="1">
        <f t="shared" ca="1" si="20"/>
        <v>1</v>
      </c>
      <c r="Q96" s="1">
        <f t="shared" ca="1" si="20"/>
        <v>0</v>
      </c>
    </row>
    <row r="97" spans="1:17" x14ac:dyDescent="0.3">
      <c r="A97" s="1" t="s">
        <v>134</v>
      </c>
      <c r="B97" s="1" t="s">
        <v>240</v>
      </c>
      <c r="C97" s="1" t="s">
        <v>35</v>
      </c>
      <c r="D97" s="3">
        <f t="shared" ca="1" si="11"/>
        <v>20025257</v>
      </c>
      <c r="E97" s="3">
        <f t="shared" ca="1" si="12"/>
        <v>2505285</v>
      </c>
      <c r="F97" s="3">
        <f t="shared" ca="1" si="13"/>
        <v>384</v>
      </c>
      <c r="G97" s="3">
        <f t="shared" ca="1" si="14"/>
        <v>7595577</v>
      </c>
      <c r="H97" s="3">
        <f t="shared" ca="1" si="15"/>
        <v>243</v>
      </c>
      <c r="I97" s="1" t="s">
        <v>41</v>
      </c>
      <c r="J97" s="3">
        <f t="shared" ca="1" si="16"/>
        <v>104753</v>
      </c>
      <c r="K97" s="3">
        <f t="shared" ca="1" si="17"/>
        <v>432</v>
      </c>
      <c r="L97" s="3">
        <f t="shared" ca="1" si="18"/>
        <v>80</v>
      </c>
      <c r="M97" s="4"/>
      <c r="N97" s="5">
        <f t="shared" si="19"/>
        <v>1</v>
      </c>
      <c r="O97" s="1">
        <f t="shared" ca="1" si="20"/>
        <v>0</v>
      </c>
      <c r="P97" s="1">
        <f t="shared" ca="1" si="20"/>
        <v>0</v>
      </c>
      <c r="Q97" s="1">
        <f t="shared" ca="1" si="20"/>
        <v>1</v>
      </c>
    </row>
    <row r="98" spans="1:17" x14ac:dyDescent="0.3">
      <c r="A98" s="1" t="s">
        <v>135</v>
      </c>
      <c r="B98" s="1" t="s">
        <v>240</v>
      </c>
      <c r="C98" s="1" t="s">
        <v>37</v>
      </c>
      <c r="D98" s="3">
        <f t="shared" ca="1" si="11"/>
        <v>15645557</v>
      </c>
      <c r="E98" s="3">
        <f t="shared" ca="1" si="12"/>
        <v>6331488</v>
      </c>
      <c r="F98" s="3">
        <f t="shared" ca="1" si="13"/>
        <v>463</v>
      </c>
      <c r="G98" s="3">
        <f t="shared" ca="1" si="14"/>
        <v>8047430</v>
      </c>
      <c r="H98" s="3">
        <f t="shared" ca="1" si="15"/>
        <v>468</v>
      </c>
      <c r="I98" s="1" t="s">
        <v>47</v>
      </c>
      <c r="J98" s="3">
        <f t="shared" ca="1" si="16"/>
        <v>392666</v>
      </c>
      <c r="K98" s="3">
        <f t="shared" ca="1" si="17"/>
        <v>154</v>
      </c>
      <c r="L98" s="3">
        <f t="shared" ca="1" si="18"/>
        <v>103</v>
      </c>
      <c r="M98" s="4"/>
      <c r="N98" s="5">
        <f t="shared" si="19"/>
        <v>1</v>
      </c>
      <c r="O98" s="1">
        <f t="shared" ca="1" si="20"/>
        <v>1</v>
      </c>
      <c r="P98" s="1">
        <f t="shared" ca="1" si="20"/>
        <v>0</v>
      </c>
      <c r="Q98" s="1">
        <f t="shared" ca="1" si="20"/>
        <v>0</v>
      </c>
    </row>
    <row r="99" spans="1:17" x14ac:dyDescent="0.3">
      <c r="A99" s="1" t="s">
        <v>136</v>
      </c>
      <c r="B99" s="1" t="s">
        <v>240</v>
      </c>
      <c r="C99" s="1" t="s">
        <v>40</v>
      </c>
      <c r="D99" s="3">
        <f t="shared" ca="1" si="11"/>
        <v>93392262</v>
      </c>
      <c r="E99" s="3">
        <f t="shared" ca="1" si="12"/>
        <v>2763474</v>
      </c>
      <c r="F99" s="3">
        <f t="shared" ca="1" si="13"/>
        <v>422</v>
      </c>
      <c r="G99" s="3">
        <f t="shared" ca="1" si="14"/>
        <v>1841329</v>
      </c>
      <c r="H99" s="3">
        <f t="shared" ca="1" si="15"/>
        <v>180</v>
      </c>
      <c r="I99" s="1" t="s">
        <v>47</v>
      </c>
      <c r="J99" s="3">
        <f t="shared" ca="1" si="16"/>
        <v>220460</v>
      </c>
      <c r="K99" s="3">
        <f t="shared" ca="1" si="17"/>
        <v>538</v>
      </c>
      <c r="L99" s="3">
        <f t="shared" ca="1" si="18"/>
        <v>129</v>
      </c>
      <c r="M99" s="4"/>
      <c r="N99" s="5">
        <f t="shared" si="19"/>
        <v>1</v>
      </c>
      <c r="O99" s="1">
        <f t="shared" ca="1" si="20"/>
        <v>1</v>
      </c>
      <c r="P99" s="1">
        <f t="shared" ca="1" si="20"/>
        <v>1</v>
      </c>
      <c r="Q99" s="1">
        <f t="shared" ca="1" si="20"/>
        <v>1</v>
      </c>
    </row>
    <row r="100" spans="1:17" x14ac:dyDescent="0.3">
      <c r="A100" s="1" t="s">
        <v>137</v>
      </c>
      <c r="B100" s="1" t="s">
        <v>240</v>
      </c>
      <c r="C100" s="1" t="s">
        <v>43</v>
      </c>
      <c r="D100" s="3">
        <f t="shared" ca="1" si="11"/>
        <v>64957588</v>
      </c>
      <c r="E100" s="3">
        <f t="shared" ca="1" si="12"/>
        <v>8842220</v>
      </c>
      <c r="F100" s="3">
        <f t="shared" ca="1" si="13"/>
        <v>23</v>
      </c>
      <c r="G100" s="3">
        <f t="shared" ca="1" si="14"/>
        <v>428109</v>
      </c>
      <c r="H100" s="3">
        <f t="shared" ca="1" si="15"/>
        <v>389</v>
      </c>
      <c r="I100" s="1" t="s">
        <v>18</v>
      </c>
      <c r="J100" s="3">
        <f t="shared" ca="1" si="16"/>
        <v>533264</v>
      </c>
      <c r="K100" s="3">
        <f t="shared" ca="1" si="17"/>
        <v>254</v>
      </c>
      <c r="L100" s="3">
        <f t="shared" ca="1" si="18"/>
        <v>12</v>
      </c>
      <c r="M100" s="4"/>
      <c r="N100" s="5">
        <f t="shared" si="19"/>
        <v>1</v>
      </c>
      <c r="O100" s="1">
        <f t="shared" ca="1" si="20"/>
        <v>0</v>
      </c>
      <c r="P100" s="1">
        <f t="shared" ca="1" si="20"/>
        <v>1</v>
      </c>
      <c r="Q100" s="1">
        <f t="shared" ca="1" si="20"/>
        <v>1</v>
      </c>
    </row>
    <row r="101" spans="1:17" x14ac:dyDescent="0.3">
      <c r="A101" s="1" t="s">
        <v>138</v>
      </c>
      <c r="B101" s="1" t="s">
        <v>240</v>
      </c>
      <c r="C101" s="1" t="s">
        <v>45</v>
      </c>
      <c r="D101" s="3">
        <f t="shared" ca="1" si="11"/>
        <v>12323107</v>
      </c>
      <c r="E101" s="3">
        <f t="shared" ca="1" si="12"/>
        <v>7866799</v>
      </c>
      <c r="F101" s="3">
        <f t="shared" ca="1" si="13"/>
        <v>464</v>
      </c>
      <c r="G101" s="3">
        <f t="shared" ca="1" si="14"/>
        <v>3720999</v>
      </c>
      <c r="H101" s="3">
        <f t="shared" ca="1" si="15"/>
        <v>52</v>
      </c>
      <c r="I101" s="1" t="s">
        <v>21</v>
      </c>
      <c r="J101" s="3">
        <f t="shared" ca="1" si="16"/>
        <v>572355</v>
      </c>
      <c r="K101" s="3">
        <f t="shared" ca="1" si="17"/>
        <v>227</v>
      </c>
      <c r="L101" s="3">
        <f t="shared" ca="1" si="18"/>
        <v>40</v>
      </c>
      <c r="M101" s="4"/>
      <c r="N101" s="5">
        <f t="shared" si="19"/>
        <v>1</v>
      </c>
      <c r="O101" s="1">
        <f t="shared" ca="1" si="20"/>
        <v>0</v>
      </c>
      <c r="P101" s="1">
        <f t="shared" ca="1" si="20"/>
        <v>1</v>
      </c>
      <c r="Q101" s="1">
        <f t="shared" ca="1" si="20"/>
        <v>1</v>
      </c>
    </row>
    <row r="102" spans="1:17" x14ac:dyDescent="0.3">
      <c r="A102" s="1" t="s">
        <v>139</v>
      </c>
      <c r="B102" s="1" t="s">
        <v>240</v>
      </c>
      <c r="C102" s="1" t="s">
        <v>23</v>
      </c>
      <c r="D102" s="3">
        <f t="shared" ca="1" si="11"/>
        <v>41217525</v>
      </c>
      <c r="E102" s="3">
        <f t="shared" ca="1" si="12"/>
        <v>7526668</v>
      </c>
      <c r="F102" s="3">
        <f t="shared" ca="1" si="13"/>
        <v>487</v>
      </c>
      <c r="G102" s="3">
        <f t="shared" ca="1" si="14"/>
        <v>8909538</v>
      </c>
      <c r="H102" s="3">
        <f t="shared" ca="1" si="15"/>
        <v>61</v>
      </c>
      <c r="I102" s="1" t="s">
        <v>21</v>
      </c>
      <c r="J102" s="3">
        <f t="shared" ca="1" si="16"/>
        <v>383334</v>
      </c>
      <c r="K102" s="3">
        <f t="shared" ca="1" si="17"/>
        <v>163</v>
      </c>
      <c r="L102" s="3">
        <f t="shared" ca="1" si="18"/>
        <v>75</v>
      </c>
      <c r="M102" s="4"/>
      <c r="N102" s="5">
        <f t="shared" si="19"/>
        <v>1</v>
      </c>
      <c r="O102" s="1">
        <f t="shared" ca="1" si="20"/>
        <v>0</v>
      </c>
      <c r="P102" s="1">
        <f t="shared" ca="1" si="20"/>
        <v>1</v>
      </c>
      <c r="Q102" s="1">
        <f t="shared" ca="1" si="20"/>
        <v>0</v>
      </c>
    </row>
    <row r="103" spans="1:17" x14ac:dyDescent="0.3">
      <c r="A103" s="1" t="s">
        <v>140</v>
      </c>
      <c r="B103" s="1" t="s">
        <v>240</v>
      </c>
      <c r="C103" s="1" t="s">
        <v>49</v>
      </c>
      <c r="D103" s="3">
        <f t="shared" ca="1" si="11"/>
        <v>35570123</v>
      </c>
      <c r="E103" s="3">
        <f t="shared" ca="1" si="12"/>
        <v>5734328</v>
      </c>
      <c r="F103" s="3">
        <f t="shared" ca="1" si="13"/>
        <v>130</v>
      </c>
      <c r="G103" s="3">
        <f t="shared" ca="1" si="14"/>
        <v>8249527</v>
      </c>
      <c r="H103" s="3">
        <f t="shared" ca="1" si="15"/>
        <v>334</v>
      </c>
      <c r="I103" s="1" t="s">
        <v>18</v>
      </c>
      <c r="J103" s="3">
        <f t="shared" ca="1" si="16"/>
        <v>131413</v>
      </c>
      <c r="K103" s="3">
        <f t="shared" ca="1" si="17"/>
        <v>322</v>
      </c>
      <c r="L103" s="3">
        <f t="shared" ca="1" si="18"/>
        <v>129</v>
      </c>
      <c r="M103" s="4"/>
      <c r="N103" s="5">
        <f t="shared" si="19"/>
        <v>1</v>
      </c>
      <c r="O103" s="1">
        <f t="shared" ca="1" si="20"/>
        <v>1</v>
      </c>
      <c r="P103" s="1">
        <f t="shared" ca="1" si="20"/>
        <v>1</v>
      </c>
      <c r="Q103" s="1">
        <f t="shared" ca="1" si="20"/>
        <v>1</v>
      </c>
    </row>
    <row r="104" spans="1:17" x14ac:dyDescent="0.3">
      <c r="A104" s="1" t="s">
        <v>141</v>
      </c>
      <c r="B104" s="1" t="s">
        <v>240</v>
      </c>
      <c r="C104" s="1" t="s">
        <v>49</v>
      </c>
      <c r="D104" s="3">
        <f t="shared" ca="1" si="11"/>
        <v>64945294</v>
      </c>
      <c r="E104" s="3">
        <f t="shared" ca="1" si="12"/>
        <v>946646</v>
      </c>
      <c r="F104" s="3">
        <f t="shared" ca="1" si="13"/>
        <v>244</v>
      </c>
      <c r="G104" s="3">
        <f t="shared" ca="1" si="14"/>
        <v>2339165</v>
      </c>
      <c r="H104" s="3">
        <f t="shared" ca="1" si="15"/>
        <v>481</v>
      </c>
      <c r="I104" s="1" t="s">
        <v>28</v>
      </c>
      <c r="J104" s="3">
        <f t="shared" ca="1" si="16"/>
        <v>416679</v>
      </c>
      <c r="K104" s="3">
        <f t="shared" ca="1" si="17"/>
        <v>496</v>
      </c>
      <c r="L104" s="3">
        <f t="shared" ca="1" si="18"/>
        <v>35</v>
      </c>
      <c r="M104" s="4"/>
      <c r="N104" s="5">
        <f t="shared" si="19"/>
        <v>1</v>
      </c>
      <c r="O104" s="1">
        <f t="shared" ca="1" si="20"/>
        <v>0</v>
      </c>
      <c r="P104" s="1">
        <f t="shared" ca="1" si="20"/>
        <v>0</v>
      </c>
      <c r="Q104" s="1">
        <f t="shared" ca="1" si="20"/>
        <v>0</v>
      </c>
    </row>
    <row r="105" spans="1:17" x14ac:dyDescent="0.3">
      <c r="A105" s="1" t="s">
        <v>142</v>
      </c>
      <c r="B105" s="1" t="s">
        <v>240</v>
      </c>
      <c r="C105" s="1" t="s">
        <v>52</v>
      </c>
      <c r="D105" s="3">
        <f t="shared" ca="1" si="11"/>
        <v>21524634</v>
      </c>
      <c r="E105" s="3">
        <f t="shared" ca="1" si="12"/>
        <v>3908769</v>
      </c>
      <c r="F105" s="3">
        <f t="shared" ca="1" si="13"/>
        <v>153</v>
      </c>
      <c r="G105" s="3">
        <f t="shared" ca="1" si="14"/>
        <v>2973296</v>
      </c>
      <c r="H105" s="3">
        <f t="shared" ca="1" si="15"/>
        <v>107</v>
      </c>
      <c r="I105" s="1" t="s">
        <v>28</v>
      </c>
      <c r="J105" s="3">
        <f t="shared" ca="1" si="16"/>
        <v>154302</v>
      </c>
      <c r="K105" s="3">
        <f t="shared" ca="1" si="17"/>
        <v>253</v>
      </c>
      <c r="L105" s="3">
        <f t="shared" ca="1" si="18"/>
        <v>121</v>
      </c>
      <c r="M105" s="4"/>
      <c r="N105" s="5">
        <f t="shared" si="19"/>
        <v>1</v>
      </c>
      <c r="O105" s="1">
        <f t="shared" ca="1" si="20"/>
        <v>1</v>
      </c>
      <c r="P105" s="1">
        <f t="shared" ca="1" si="20"/>
        <v>1</v>
      </c>
      <c r="Q105" s="1">
        <f t="shared" ca="1" si="20"/>
        <v>1</v>
      </c>
    </row>
    <row r="106" spans="1:17" x14ac:dyDescent="0.3">
      <c r="A106" s="1" t="s">
        <v>143</v>
      </c>
      <c r="B106" s="1" t="s">
        <v>240</v>
      </c>
      <c r="C106" s="1" t="s">
        <v>54</v>
      </c>
      <c r="D106" s="3">
        <f t="shared" ca="1" si="11"/>
        <v>62972853</v>
      </c>
      <c r="E106" s="3">
        <f t="shared" ca="1" si="12"/>
        <v>2042639</v>
      </c>
      <c r="F106" s="3">
        <f t="shared" ca="1" si="13"/>
        <v>220</v>
      </c>
      <c r="G106" s="3">
        <f t="shared" ca="1" si="14"/>
        <v>6438060</v>
      </c>
      <c r="H106" s="3">
        <f t="shared" ca="1" si="15"/>
        <v>366</v>
      </c>
      <c r="I106" s="1" t="s">
        <v>33</v>
      </c>
      <c r="J106" s="3">
        <f t="shared" ca="1" si="16"/>
        <v>201411</v>
      </c>
      <c r="K106" s="3">
        <f t="shared" ca="1" si="17"/>
        <v>377</v>
      </c>
      <c r="L106" s="3">
        <f t="shared" ca="1" si="18"/>
        <v>107</v>
      </c>
      <c r="M106" s="4"/>
      <c r="N106" s="5">
        <f t="shared" si="19"/>
        <v>1</v>
      </c>
      <c r="O106" s="1">
        <f t="shared" ca="1" si="20"/>
        <v>0</v>
      </c>
      <c r="P106" s="1">
        <f t="shared" ca="1" si="20"/>
        <v>1</v>
      </c>
      <c r="Q106" s="1">
        <f t="shared" ca="1" si="20"/>
        <v>1</v>
      </c>
    </row>
    <row r="107" spans="1:17" x14ac:dyDescent="0.3">
      <c r="A107" s="1" t="s">
        <v>144</v>
      </c>
      <c r="B107" s="1" t="s">
        <v>240</v>
      </c>
      <c r="C107" s="1" t="s">
        <v>54</v>
      </c>
      <c r="D107" s="3">
        <f t="shared" ca="1" si="11"/>
        <v>84432957</v>
      </c>
      <c r="E107" s="3">
        <f t="shared" ca="1" si="12"/>
        <v>479357</v>
      </c>
      <c r="F107" s="3">
        <f t="shared" ca="1" si="13"/>
        <v>94</v>
      </c>
      <c r="G107" s="3">
        <f t="shared" ca="1" si="14"/>
        <v>5107223</v>
      </c>
      <c r="H107" s="3">
        <f t="shared" ca="1" si="15"/>
        <v>189</v>
      </c>
      <c r="I107" s="1" t="s">
        <v>33</v>
      </c>
      <c r="J107" s="3">
        <f t="shared" ca="1" si="16"/>
        <v>523709</v>
      </c>
      <c r="K107" s="3">
        <f t="shared" ca="1" si="17"/>
        <v>155</v>
      </c>
      <c r="L107" s="3">
        <f t="shared" ca="1" si="18"/>
        <v>4</v>
      </c>
      <c r="M107" s="4"/>
      <c r="N107" s="5">
        <f t="shared" si="19"/>
        <v>1</v>
      </c>
      <c r="O107" s="1">
        <f t="shared" ca="1" si="20"/>
        <v>0</v>
      </c>
      <c r="P107" s="1">
        <f t="shared" ca="1" si="20"/>
        <v>0</v>
      </c>
      <c r="Q107" s="1">
        <f t="shared" ca="1" si="20"/>
        <v>0</v>
      </c>
    </row>
    <row r="108" spans="1:17" x14ac:dyDescent="0.3">
      <c r="A108" s="1" t="s">
        <v>145</v>
      </c>
      <c r="B108" s="1" t="s">
        <v>240</v>
      </c>
      <c r="C108" s="1" t="s">
        <v>20</v>
      </c>
      <c r="D108" s="3">
        <f t="shared" ca="1" si="11"/>
        <v>76144078</v>
      </c>
      <c r="E108" s="3">
        <f t="shared" ca="1" si="12"/>
        <v>1186938</v>
      </c>
      <c r="F108" s="3">
        <f t="shared" ca="1" si="13"/>
        <v>65</v>
      </c>
      <c r="G108" s="3">
        <f t="shared" ca="1" si="14"/>
        <v>9451750</v>
      </c>
      <c r="H108" s="3">
        <f t="shared" ca="1" si="15"/>
        <v>449</v>
      </c>
      <c r="I108" s="1" t="s">
        <v>38</v>
      </c>
      <c r="J108" s="3">
        <f t="shared" ca="1" si="16"/>
        <v>351733</v>
      </c>
      <c r="K108" s="3">
        <f t="shared" ca="1" si="17"/>
        <v>356</v>
      </c>
      <c r="L108" s="3">
        <f t="shared" ca="1" si="18"/>
        <v>93</v>
      </c>
      <c r="M108" s="4"/>
      <c r="N108" s="5">
        <f t="shared" si="19"/>
        <v>1</v>
      </c>
      <c r="O108" s="1">
        <f t="shared" ca="1" si="20"/>
        <v>0</v>
      </c>
      <c r="P108" s="1">
        <f t="shared" ca="1" si="20"/>
        <v>1</v>
      </c>
      <c r="Q108" s="1">
        <f t="shared" ca="1" si="20"/>
        <v>1</v>
      </c>
    </row>
    <row r="109" spans="1:17" x14ac:dyDescent="0.3">
      <c r="A109" s="1" t="s">
        <v>146</v>
      </c>
      <c r="B109" s="1" t="s">
        <v>240</v>
      </c>
      <c r="C109" s="1" t="s">
        <v>20</v>
      </c>
      <c r="D109" s="3">
        <f t="shared" ca="1" si="11"/>
        <v>81567155</v>
      </c>
      <c r="E109" s="3">
        <f t="shared" ca="1" si="12"/>
        <v>8624182</v>
      </c>
      <c r="F109" s="3">
        <f t="shared" ca="1" si="13"/>
        <v>208</v>
      </c>
      <c r="G109" s="3">
        <f t="shared" ca="1" si="14"/>
        <v>4306324</v>
      </c>
      <c r="H109" s="3">
        <f t="shared" ca="1" si="15"/>
        <v>65</v>
      </c>
      <c r="I109" s="1" t="s">
        <v>41</v>
      </c>
      <c r="J109" s="3">
        <f t="shared" ca="1" si="16"/>
        <v>558924</v>
      </c>
      <c r="K109" s="3">
        <f t="shared" ca="1" si="17"/>
        <v>7</v>
      </c>
      <c r="L109" s="3">
        <f t="shared" ca="1" si="18"/>
        <v>97</v>
      </c>
      <c r="M109" s="4"/>
      <c r="N109" s="5">
        <f t="shared" si="19"/>
        <v>1</v>
      </c>
      <c r="O109" s="1">
        <f t="shared" ca="1" si="20"/>
        <v>0</v>
      </c>
      <c r="P109" s="1">
        <f t="shared" ca="1" si="20"/>
        <v>0</v>
      </c>
      <c r="Q109" s="1">
        <f t="shared" ca="1" si="20"/>
        <v>0</v>
      </c>
    </row>
    <row r="110" spans="1:17" x14ac:dyDescent="0.3">
      <c r="A110" s="1" t="s">
        <v>147</v>
      </c>
      <c r="B110" s="1" t="s">
        <v>240</v>
      </c>
      <c r="C110" s="1" t="s">
        <v>20</v>
      </c>
      <c r="D110" s="3">
        <f t="shared" ca="1" si="11"/>
        <v>40112539</v>
      </c>
      <c r="E110" s="3">
        <f t="shared" ca="1" si="12"/>
        <v>37480</v>
      </c>
      <c r="F110" s="3">
        <f t="shared" ca="1" si="13"/>
        <v>152</v>
      </c>
      <c r="G110" s="3">
        <f t="shared" ca="1" si="14"/>
        <v>1026333</v>
      </c>
      <c r="H110" s="3">
        <f t="shared" ca="1" si="15"/>
        <v>84</v>
      </c>
      <c r="I110" s="1" t="s">
        <v>38</v>
      </c>
      <c r="J110" s="3">
        <f t="shared" ca="1" si="16"/>
        <v>179828</v>
      </c>
      <c r="K110" s="3">
        <f t="shared" ca="1" si="17"/>
        <v>162</v>
      </c>
      <c r="L110" s="3">
        <f t="shared" ca="1" si="18"/>
        <v>93</v>
      </c>
      <c r="M110" s="4"/>
      <c r="N110" s="5">
        <f t="shared" si="19"/>
        <v>1</v>
      </c>
      <c r="O110" s="1">
        <f t="shared" ca="1" si="20"/>
        <v>0</v>
      </c>
      <c r="P110" s="1">
        <f t="shared" ca="1" si="20"/>
        <v>0</v>
      </c>
      <c r="Q110" s="1">
        <f t="shared" ca="1" si="20"/>
        <v>0</v>
      </c>
    </row>
    <row r="111" spans="1:17" x14ac:dyDescent="0.3">
      <c r="A111" s="1" t="s">
        <v>148</v>
      </c>
      <c r="B111" s="1" t="s">
        <v>240</v>
      </c>
      <c r="C111" s="1" t="s">
        <v>60</v>
      </c>
      <c r="D111" s="3">
        <f t="shared" ca="1" si="11"/>
        <v>83660493</v>
      </c>
      <c r="E111" s="3">
        <f t="shared" ca="1" si="12"/>
        <v>6620960</v>
      </c>
      <c r="F111" s="3">
        <f t="shared" ca="1" si="13"/>
        <v>345</v>
      </c>
      <c r="G111" s="3">
        <f t="shared" ca="1" si="14"/>
        <v>474701</v>
      </c>
      <c r="H111" s="3">
        <f t="shared" ca="1" si="15"/>
        <v>37</v>
      </c>
      <c r="I111" s="1" t="s">
        <v>41</v>
      </c>
      <c r="J111" s="3">
        <f t="shared" ca="1" si="16"/>
        <v>166600</v>
      </c>
      <c r="K111" s="3">
        <f t="shared" ca="1" si="17"/>
        <v>38</v>
      </c>
      <c r="L111" s="3">
        <f t="shared" ca="1" si="18"/>
        <v>83</v>
      </c>
      <c r="M111" s="4"/>
      <c r="N111" s="5">
        <f t="shared" si="19"/>
        <v>1</v>
      </c>
      <c r="O111" s="1">
        <f t="shared" ca="1" si="20"/>
        <v>1</v>
      </c>
      <c r="P111" s="1">
        <f t="shared" ca="1" si="20"/>
        <v>0</v>
      </c>
      <c r="Q111" s="1">
        <f t="shared" ca="1" si="20"/>
        <v>1</v>
      </c>
    </row>
    <row r="112" spans="1:17" x14ac:dyDescent="0.3">
      <c r="A112" s="1" t="s">
        <v>149</v>
      </c>
      <c r="B112" s="1" t="s">
        <v>240</v>
      </c>
      <c r="C112" s="1" t="s">
        <v>17</v>
      </c>
      <c r="D112" s="3">
        <f t="shared" ca="1" si="11"/>
        <v>95076642</v>
      </c>
      <c r="E112" s="3">
        <f t="shared" ca="1" si="12"/>
        <v>5951616</v>
      </c>
      <c r="F112" s="3">
        <f t="shared" ca="1" si="13"/>
        <v>378</v>
      </c>
      <c r="G112" s="3">
        <f t="shared" ca="1" si="14"/>
        <v>8323689</v>
      </c>
      <c r="H112" s="3">
        <f t="shared" ca="1" si="15"/>
        <v>246</v>
      </c>
      <c r="I112" s="1" t="s">
        <v>47</v>
      </c>
      <c r="J112" s="3">
        <f t="shared" ca="1" si="16"/>
        <v>345665</v>
      </c>
      <c r="K112" s="3">
        <f t="shared" ca="1" si="17"/>
        <v>388</v>
      </c>
      <c r="L112" s="3">
        <f t="shared" ca="1" si="18"/>
        <v>128</v>
      </c>
      <c r="M112" s="4"/>
      <c r="N112" s="5">
        <f t="shared" si="19"/>
        <v>1</v>
      </c>
      <c r="O112" s="1">
        <f t="shared" ca="1" si="20"/>
        <v>1</v>
      </c>
      <c r="P112" s="1">
        <f t="shared" ca="1" si="20"/>
        <v>0</v>
      </c>
      <c r="Q112" s="1">
        <f t="shared" ca="1" si="20"/>
        <v>1</v>
      </c>
    </row>
    <row r="113" spans="1:17" x14ac:dyDescent="0.3">
      <c r="A113" s="1" t="s">
        <v>150</v>
      </c>
      <c r="B113" s="1" t="s">
        <v>240</v>
      </c>
      <c r="C113" s="1" t="s">
        <v>20</v>
      </c>
      <c r="D113" s="3">
        <f t="shared" ca="1" si="11"/>
        <v>95642968</v>
      </c>
      <c r="E113" s="3">
        <f t="shared" ca="1" si="12"/>
        <v>7451901</v>
      </c>
      <c r="F113" s="3">
        <f t="shared" ca="1" si="13"/>
        <v>244</v>
      </c>
      <c r="G113" s="3">
        <f t="shared" ca="1" si="14"/>
        <v>1144815</v>
      </c>
      <c r="H113" s="3">
        <f t="shared" ca="1" si="15"/>
        <v>382</v>
      </c>
      <c r="I113" s="1" t="s">
        <v>47</v>
      </c>
      <c r="J113" s="3">
        <f t="shared" ca="1" si="16"/>
        <v>347863</v>
      </c>
      <c r="K113" s="3">
        <f t="shared" ca="1" si="17"/>
        <v>284</v>
      </c>
      <c r="L113" s="3">
        <f t="shared" ca="1" si="18"/>
        <v>110</v>
      </c>
      <c r="M113" s="4"/>
      <c r="N113" s="5">
        <f t="shared" si="19"/>
        <v>1</v>
      </c>
      <c r="O113" s="1">
        <f t="shared" ca="1" si="20"/>
        <v>0</v>
      </c>
      <c r="P113" s="1">
        <f t="shared" ca="1" si="20"/>
        <v>1</v>
      </c>
      <c r="Q113" s="1">
        <f t="shared" ca="1" si="20"/>
        <v>1</v>
      </c>
    </row>
    <row r="114" spans="1:17" x14ac:dyDescent="0.3">
      <c r="A114" s="1" t="s">
        <v>151</v>
      </c>
      <c r="B114" s="1" t="s">
        <v>240</v>
      </c>
      <c r="C114" s="1" t="s">
        <v>23</v>
      </c>
      <c r="D114" s="3">
        <f t="shared" ca="1" si="11"/>
        <v>76250721</v>
      </c>
      <c r="E114" s="3">
        <f t="shared" ca="1" si="12"/>
        <v>2764838</v>
      </c>
      <c r="F114" s="3">
        <f t="shared" ca="1" si="13"/>
        <v>184</v>
      </c>
      <c r="G114" s="3">
        <f t="shared" ca="1" si="14"/>
        <v>4390610</v>
      </c>
      <c r="H114" s="3">
        <f t="shared" ca="1" si="15"/>
        <v>347</v>
      </c>
      <c r="I114" s="1" t="s">
        <v>18</v>
      </c>
      <c r="J114" s="3">
        <f t="shared" ca="1" si="16"/>
        <v>199866</v>
      </c>
      <c r="K114" s="3">
        <f t="shared" ca="1" si="17"/>
        <v>330</v>
      </c>
      <c r="L114" s="3">
        <f t="shared" ca="1" si="18"/>
        <v>115</v>
      </c>
      <c r="M114" s="4"/>
      <c r="N114" s="5">
        <f t="shared" si="19"/>
        <v>1</v>
      </c>
      <c r="O114" s="1">
        <f t="shared" ca="1" si="20"/>
        <v>1</v>
      </c>
      <c r="P114" s="1">
        <f t="shared" ca="1" si="20"/>
        <v>0</v>
      </c>
      <c r="Q114" s="1">
        <f t="shared" ca="1" si="20"/>
        <v>0</v>
      </c>
    </row>
    <row r="115" spans="1:17" x14ac:dyDescent="0.3">
      <c r="A115" s="1" t="s">
        <v>152</v>
      </c>
      <c r="B115" s="1" t="s">
        <v>240</v>
      </c>
      <c r="C115" s="1" t="s">
        <v>25</v>
      </c>
      <c r="D115" s="3">
        <f t="shared" ca="1" si="11"/>
        <v>13927524</v>
      </c>
      <c r="E115" s="3">
        <f t="shared" ca="1" si="12"/>
        <v>4728073</v>
      </c>
      <c r="F115" s="3">
        <f t="shared" ca="1" si="13"/>
        <v>374</v>
      </c>
      <c r="G115" s="3">
        <f t="shared" ca="1" si="14"/>
        <v>7672347</v>
      </c>
      <c r="H115" s="3">
        <f t="shared" ca="1" si="15"/>
        <v>388</v>
      </c>
      <c r="I115" s="1" t="s">
        <v>21</v>
      </c>
      <c r="J115" s="3">
        <f t="shared" ca="1" si="16"/>
        <v>547767</v>
      </c>
      <c r="K115" s="3">
        <f t="shared" ca="1" si="17"/>
        <v>506</v>
      </c>
      <c r="L115" s="3">
        <f t="shared" ca="1" si="18"/>
        <v>122</v>
      </c>
      <c r="M115" s="4"/>
      <c r="N115" s="5">
        <f t="shared" si="19"/>
        <v>1</v>
      </c>
      <c r="O115" s="1">
        <f t="shared" ca="1" si="20"/>
        <v>0</v>
      </c>
      <c r="P115" s="1">
        <f t="shared" ca="1" si="20"/>
        <v>1</v>
      </c>
      <c r="Q115" s="1">
        <f t="shared" ca="1" si="20"/>
        <v>1</v>
      </c>
    </row>
    <row r="116" spans="1:17" x14ac:dyDescent="0.3">
      <c r="A116" s="1" t="s">
        <v>153</v>
      </c>
      <c r="B116" s="1" t="s">
        <v>240</v>
      </c>
      <c r="C116" s="1" t="s">
        <v>27</v>
      </c>
      <c r="D116" s="3">
        <f t="shared" ca="1" si="11"/>
        <v>65570983</v>
      </c>
      <c r="E116" s="3">
        <f t="shared" ca="1" si="12"/>
        <v>5754762</v>
      </c>
      <c r="F116" s="3">
        <f t="shared" ca="1" si="13"/>
        <v>317</v>
      </c>
      <c r="G116" s="3">
        <f t="shared" ca="1" si="14"/>
        <v>490082</v>
      </c>
      <c r="H116" s="3">
        <f t="shared" ca="1" si="15"/>
        <v>94</v>
      </c>
      <c r="I116" s="1" t="s">
        <v>21</v>
      </c>
      <c r="J116" s="3">
        <f t="shared" ca="1" si="16"/>
        <v>21296</v>
      </c>
      <c r="K116" s="3">
        <f t="shared" ca="1" si="17"/>
        <v>335</v>
      </c>
      <c r="L116" s="3">
        <f t="shared" ca="1" si="18"/>
        <v>71</v>
      </c>
      <c r="M116" s="4"/>
      <c r="N116" s="5">
        <f t="shared" si="19"/>
        <v>1</v>
      </c>
      <c r="O116" s="1">
        <f t="shared" ca="1" si="20"/>
        <v>1</v>
      </c>
      <c r="P116" s="1">
        <f t="shared" ca="1" si="20"/>
        <v>1</v>
      </c>
      <c r="Q116" s="1">
        <f t="shared" ca="1" si="20"/>
        <v>0</v>
      </c>
    </row>
    <row r="117" spans="1:17" x14ac:dyDescent="0.3">
      <c r="A117" s="1" t="s">
        <v>154</v>
      </c>
      <c r="B117" s="1" t="s">
        <v>240</v>
      </c>
      <c r="C117" s="1" t="s">
        <v>30</v>
      </c>
      <c r="D117" s="3">
        <f t="shared" ca="1" si="11"/>
        <v>25309149</v>
      </c>
      <c r="E117" s="3">
        <f t="shared" ca="1" si="12"/>
        <v>7584127</v>
      </c>
      <c r="F117" s="3">
        <f t="shared" ca="1" si="13"/>
        <v>429</v>
      </c>
      <c r="G117" s="3">
        <f t="shared" ca="1" si="14"/>
        <v>6987444</v>
      </c>
      <c r="H117" s="3">
        <f t="shared" ca="1" si="15"/>
        <v>268</v>
      </c>
      <c r="I117" s="1" t="s">
        <v>18</v>
      </c>
      <c r="J117" s="3">
        <f t="shared" ca="1" si="16"/>
        <v>222926</v>
      </c>
      <c r="K117" s="3">
        <f t="shared" ca="1" si="17"/>
        <v>410</v>
      </c>
      <c r="L117" s="3">
        <f t="shared" ca="1" si="18"/>
        <v>62</v>
      </c>
      <c r="M117" s="4"/>
      <c r="N117" s="5">
        <f t="shared" si="19"/>
        <v>1</v>
      </c>
      <c r="O117" s="1">
        <f t="shared" ca="1" si="20"/>
        <v>0</v>
      </c>
      <c r="P117" s="1">
        <f t="shared" ca="1" si="20"/>
        <v>0</v>
      </c>
      <c r="Q117" s="1">
        <f t="shared" ca="1" si="20"/>
        <v>1</v>
      </c>
    </row>
    <row r="118" spans="1:17" x14ac:dyDescent="0.3">
      <c r="A118" s="1" t="s">
        <v>155</v>
      </c>
      <c r="B118" s="1" t="s">
        <v>240</v>
      </c>
      <c r="C118" s="1" t="s">
        <v>32</v>
      </c>
      <c r="D118" s="3">
        <f t="shared" ca="1" si="11"/>
        <v>46533172</v>
      </c>
      <c r="E118" s="3">
        <f t="shared" ca="1" si="12"/>
        <v>8564206</v>
      </c>
      <c r="F118" s="3">
        <f t="shared" ca="1" si="13"/>
        <v>387</v>
      </c>
      <c r="G118" s="3">
        <f t="shared" ca="1" si="14"/>
        <v>3456589</v>
      </c>
      <c r="H118" s="3">
        <f t="shared" ca="1" si="15"/>
        <v>354</v>
      </c>
      <c r="I118" s="1" t="s">
        <v>28</v>
      </c>
      <c r="J118" s="3">
        <f t="shared" ca="1" si="16"/>
        <v>130166</v>
      </c>
      <c r="K118" s="3">
        <f t="shared" ca="1" si="17"/>
        <v>241</v>
      </c>
      <c r="L118" s="3">
        <f t="shared" ca="1" si="18"/>
        <v>94</v>
      </c>
      <c r="M118" s="4"/>
      <c r="N118" s="5">
        <f t="shared" si="19"/>
        <v>1</v>
      </c>
      <c r="O118" s="1">
        <f t="shared" ca="1" si="20"/>
        <v>0</v>
      </c>
      <c r="P118" s="1">
        <f t="shared" ca="1" si="20"/>
        <v>1</v>
      </c>
      <c r="Q118" s="1">
        <f t="shared" ca="1" si="20"/>
        <v>1</v>
      </c>
    </row>
    <row r="119" spans="1:17" x14ac:dyDescent="0.3">
      <c r="A119" s="1" t="s">
        <v>156</v>
      </c>
      <c r="B119" s="1" t="s">
        <v>240</v>
      </c>
      <c r="C119" s="1" t="s">
        <v>35</v>
      </c>
      <c r="D119" s="3">
        <f t="shared" ca="1" si="11"/>
        <v>77883488</v>
      </c>
      <c r="E119" s="3">
        <f t="shared" ca="1" si="12"/>
        <v>2652800</v>
      </c>
      <c r="F119" s="3">
        <f t="shared" ca="1" si="13"/>
        <v>274</v>
      </c>
      <c r="G119" s="3">
        <f t="shared" ca="1" si="14"/>
        <v>114549</v>
      </c>
      <c r="H119" s="3">
        <f t="shared" ca="1" si="15"/>
        <v>201</v>
      </c>
      <c r="I119" s="1" t="s">
        <v>28</v>
      </c>
      <c r="J119" s="3">
        <f t="shared" ca="1" si="16"/>
        <v>43382</v>
      </c>
      <c r="K119" s="3">
        <f t="shared" ca="1" si="17"/>
        <v>434</v>
      </c>
      <c r="L119" s="3">
        <f t="shared" ca="1" si="18"/>
        <v>15</v>
      </c>
      <c r="M119" s="4"/>
      <c r="N119" s="5">
        <f t="shared" si="19"/>
        <v>1</v>
      </c>
      <c r="O119" s="1">
        <f t="shared" ca="1" si="20"/>
        <v>0</v>
      </c>
      <c r="P119" s="1">
        <f t="shared" ca="1" si="20"/>
        <v>0</v>
      </c>
      <c r="Q119" s="1">
        <f t="shared" ca="1" si="20"/>
        <v>1</v>
      </c>
    </row>
    <row r="120" spans="1:17" x14ac:dyDescent="0.3">
      <c r="A120" s="1" t="s">
        <v>157</v>
      </c>
      <c r="B120" s="1" t="s">
        <v>240</v>
      </c>
      <c r="C120" s="1" t="s">
        <v>37</v>
      </c>
      <c r="D120" s="3">
        <f t="shared" ca="1" si="11"/>
        <v>58327943</v>
      </c>
      <c r="E120" s="3">
        <f t="shared" ca="1" si="12"/>
        <v>5927204</v>
      </c>
      <c r="F120" s="3">
        <f t="shared" ca="1" si="13"/>
        <v>325</v>
      </c>
      <c r="G120" s="3">
        <f t="shared" ca="1" si="14"/>
        <v>9928857</v>
      </c>
      <c r="H120" s="3">
        <f t="shared" ca="1" si="15"/>
        <v>6</v>
      </c>
      <c r="I120" s="1" t="s">
        <v>33</v>
      </c>
      <c r="J120" s="3">
        <f t="shared" ca="1" si="16"/>
        <v>217381</v>
      </c>
      <c r="K120" s="3">
        <f t="shared" ca="1" si="17"/>
        <v>376</v>
      </c>
      <c r="L120" s="3">
        <f t="shared" ca="1" si="18"/>
        <v>88</v>
      </c>
      <c r="M120" s="4"/>
      <c r="N120" s="5">
        <f t="shared" si="19"/>
        <v>1</v>
      </c>
      <c r="O120" s="1">
        <f t="shared" ca="1" si="20"/>
        <v>1</v>
      </c>
      <c r="P120" s="1">
        <f t="shared" ca="1" si="20"/>
        <v>1</v>
      </c>
      <c r="Q120" s="1">
        <f t="shared" ca="1" si="20"/>
        <v>0</v>
      </c>
    </row>
    <row r="121" spans="1:17" x14ac:dyDescent="0.3">
      <c r="A121" s="1" t="s">
        <v>158</v>
      </c>
      <c r="B121" s="1" t="s">
        <v>240</v>
      </c>
      <c r="C121" s="1" t="s">
        <v>40</v>
      </c>
      <c r="D121" s="3">
        <f t="shared" ca="1" si="11"/>
        <v>52198494</v>
      </c>
      <c r="E121" s="3">
        <f t="shared" ca="1" si="12"/>
        <v>6906098</v>
      </c>
      <c r="F121" s="3">
        <f t="shared" ca="1" si="13"/>
        <v>463</v>
      </c>
      <c r="G121" s="3">
        <f t="shared" ca="1" si="14"/>
        <v>9994163</v>
      </c>
      <c r="H121" s="3">
        <f t="shared" ca="1" si="15"/>
        <v>328</v>
      </c>
      <c r="I121" s="1" t="s">
        <v>33</v>
      </c>
      <c r="J121" s="3">
        <f t="shared" ca="1" si="16"/>
        <v>428280</v>
      </c>
      <c r="K121" s="3">
        <f t="shared" ca="1" si="17"/>
        <v>20</v>
      </c>
      <c r="L121" s="3">
        <f t="shared" ca="1" si="18"/>
        <v>102</v>
      </c>
      <c r="M121" s="4"/>
      <c r="N121" s="5">
        <f t="shared" si="19"/>
        <v>1</v>
      </c>
      <c r="O121" s="1">
        <f t="shared" ca="1" si="20"/>
        <v>0</v>
      </c>
      <c r="P121" s="1">
        <f t="shared" ca="1" si="20"/>
        <v>0</v>
      </c>
      <c r="Q121" s="1">
        <f t="shared" ca="1" si="20"/>
        <v>0</v>
      </c>
    </row>
    <row r="122" spans="1:17" x14ac:dyDescent="0.3">
      <c r="A122" s="1" t="s">
        <v>159</v>
      </c>
      <c r="B122" s="1" t="s">
        <v>240</v>
      </c>
      <c r="C122" s="1" t="s">
        <v>43</v>
      </c>
      <c r="D122" s="3">
        <f t="shared" ca="1" si="11"/>
        <v>44876354</v>
      </c>
      <c r="E122" s="3">
        <f t="shared" ca="1" si="12"/>
        <v>1189906</v>
      </c>
      <c r="F122" s="3">
        <f t="shared" ca="1" si="13"/>
        <v>290</v>
      </c>
      <c r="G122" s="3">
        <f t="shared" ca="1" si="14"/>
        <v>6698414</v>
      </c>
      <c r="H122" s="3">
        <f t="shared" ca="1" si="15"/>
        <v>275</v>
      </c>
      <c r="I122" s="1" t="s">
        <v>38</v>
      </c>
      <c r="J122" s="3">
        <f t="shared" ca="1" si="16"/>
        <v>81193</v>
      </c>
      <c r="K122" s="3">
        <f t="shared" ca="1" si="17"/>
        <v>130</v>
      </c>
      <c r="L122" s="3">
        <f t="shared" ca="1" si="18"/>
        <v>115</v>
      </c>
      <c r="M122" s="4"/>
      <c r="N122" s="5">
        <f t="shared" si="19"/>
        <v>1</v>
      </c>
      <c r="O122" s="1">
        <f t="shared" ca="1" si="20"/>
        <v>0</v>
      </c>
      <c r="P122" s="1">
        <f t="shared" ca="1" si="20"/>
        <v>1</v>
      </c>
      <c r="Q122" s="1">
        <f t="shared" ca="1" si="20"/>
        <v>0</v>
      </c>
    </row>
    <row r="123" spans="1:17" x14ac:dyDescent="0.3">
      <c r="A123" s="1" t="s">
        <v>160</v>
      </c>
      <c r="B123" s="1" t="s">
        <v>240</v>
      </c>
      <c r="C123" s="1" t="s">
        <v>45</v>
      </c>
      <c r="D123" s="3">
        <f t="shared" ca="1" si="11"/>
        <v>40969513</v>
      </c>
      <c r="E123" s="3">
        <f t="shared" ca="1" si="12"/>
        <v>5004846</v>
      </c>
      <c r="F123" s="3">
        <f t="shared" ca="1" si="13"/>
        <v>216</v>
      </c>
      <c r="G123" s="3">
        <f t="shared" ca="1" si="14"/>
        <v>3198606</v>
      </c>
      <c r="H123" s="3">
        <f t="shared" ca="1" si="15"/>
        <v>225</v>
      </c>
      <c r="I123" s="1" t="s">
        <v>41</v>
      </c>
      <c r="J123" s="3">
        <f t="shared" ca="1" si="16"/>
        <v>161232</v>
      </c>
      <c r="K123" s="3">
        <f t="shared" ca="1" si="17"/>
        <v>228</v>
      </c>
      <c r="L123" s="3">
        <f t="shared" ca="1" si="18"/>
        <v>81</v>
      </c>
      <c r="M123" s="4"/>
      <c r="N123" s="5">
        <f t="shared" si="19"/>
        <v>1</v>
      </c>
      <c r="O123" s="1">
        <f t="shared" ca="1" si="20"/>
        <v>1</v>
      </c>
      <c r="P123" s="1">
        <f t="shared" ca="1" si="20"/>
        <v>0</v>
      </c>
      <c r="Q123" s="1">
        <f t="shared" ca="1" si="20"/>
        <v>0</v>
      </c>
    </row>
    <row r="124" spans="1:17" x14ac:dyDescent="0.3">
      <c r="A124" s="1" t="s">
        <v>161</v>
      </c>
      <c r="B124" s="1" t="s">
        <v>240</v>
      </c>
      <c r="C124" s="1" t="s">
        <v>23</v>
      </c>
      <c r="D124" s="3">
        <f t="shared" ca="1" si="11"/>
        <v>86126472</v>
      </c>
      <c r="E124" s="3">
        <f t="shared" ca="1" si="12"/>
        <v>3793922</v>
      </c>
      <c r="F124" s="3">
        <f t="shared" ca="1" si="13"/>
        <v>458</v>
      </c>
      <c r="G124" s="3">
        <f t="shared" ca="1" si="14"/>
        <v>7273509</v>
      </c>
      <c r="H124" s="3">
        <f t="shared" ca="1" si="15"/>
        <v>61</v>
      </c>
      <c r="I124" s="1" t="s">
        <v>38</v>
      </c>
      <c r="J124" s="3">
        <f t="shared" ca="1" si="16"/>
        <v>283728</v>
      </c>
      <c r="K124" s="3">
        <f t="shared" ca="1" si="17"/>
        <v>273</v>
      </c>
      <c r="L124" s="3">
        <f t="shared" ca="1" si="18"/>
        <v>49</v>
      </c>
      <c r="M124" s="4"/>
      <c r="N124" s="5">
        <f t="shared" si="19"/>
        <v>1</v>
      </c>
      <c r="O124" s="1">
        <f t="shared" ca="1" si="20"/>
        <v>1</v>
      </c>
      <c r="P124" s="1">
        <f t="shared" ca="1" si="20"/>
        <v>1</v>
      </c>
      <c r="Q124" s="1">
        <f t="shared" ca="1" si="20"/>
        <v>1</v>
      </c>
    </row>
    <row r="125" spans="1:17" x14ac:dyDescent="0.3">
      <c r="A125" s="1" t="s">
        <v>162</v>
      </c>
      <c r="B125" s="1" t="s">
        <v>240</v>
      </c>
      <c r="C125" s="1" t="s">
        <v>49</v>
      </c>
      <c r="D125" s="3">
        <f t="shared" ca="1" si="11"/>
        <v>27170008</v>
      </c>
      <c r="E125" s="3">
        <f t="shared" ca="1" si="12"/>
        <v>7655608</v>
      </c>
      <c r="F125" s="3">
        <f t="shared" ca="1" si="13"/>
        <v>421</v>
      </c>
      <c r="G125" s="3">
        <f t="shared" ca="1" si="14"/>
        <v>9410247</v>
      </c>
      <c r="H125" s="3">
        <f t="shared" ca="1" si="15"/>
        <v>5</v>
      </c>
      <c r="I125" s="1" t="s">
        <v>41</v>
      </c>
      <c r="J125" s="3">
        <f t="shared" ca="1" si="16"/>
        <v>582022</v>
      </c>
      <c r="K125" s="3">
        <f t="shared" ca="1" si="17"/>
        <v>235</v>
      </c>
      <c r="L125" s="3">
        <f t="shared" ca="1" si="18"/>
        <v>3</v>
      </c>
      <c r="M125" s="4"/>
      <c r="N125" s="5">
        <f t="shared" si="19"/>
        <v>1</v>
      </c>
      <c r="O125" s="1">
        <f t="shared" ca="1" si="20"/>
        <v>0</v>
      </c>
      <c r="P125" s="1">
        <f t="shared" ca="1" si="20"/>
        <v>0</v>
      </c>
      <c r="Q125" s="1">
        <f t="shared" ca="1" si="20"/>
        <v>0</v>
      </c>
    </row>
    <row r="126" spans="1:17" x14ac:dyDescent="0.3">
      <c r="A126" s="1" t="s">
        <v>163</v>
      </c>
      <c r="B126" s="1" t="s">
        <v>240</v>
      </c>
      <c r="C126" s="1" t="s">
        <v>49</v>
      </c>
      <c r="D126" s="3">
        <f t="shared" ca="1" si="11"/>
        <v>68950774</v>
      </c>
      <c r="E126" s="3">
        <f t="shared" ca="1" si="12"/>
        <v>3246858</v>
      </c>
      <c r="F126" s="3">
        <f t="shared" ca="1" si="13"/>
        <v>190</v>
      </c>
      <c r="G126" s="3">
        <f t="shared" ca="1" si="14"/>
        <v>3611329</v>
      </c>
      <c r="H126" s="3">
        <f t="shared" ca="1" si="15"/>
        <v>218</v>
      </c>
      <c r="I126" s="1" t="s">
        <v>47</v>
      </c>
      <c r="J126" s="3">
        <f t="shared" ca="1" si="16"/>
        <v>348116</v>
      </c>
      <c r="K126" s="3">
        <f t="shared" ca="1" si="17"/>
        <v>249</v>
      </c>
      <c r="L126" s="3">
        <f t="shared" ca="1" si="18"/>
        <v>100</v>
      </c>
      <c r="M126" s="4"/>
      <c r="N126" s="5">
        <f t="shared" si="19"/>
        <v>1</v>
      </c>
      <c r="O126" s="1">
        <f t="shared" ca="1" si="20"/>
        <v>0</v>
      </c>
      <c r="P126" s="1">
        <f t="shared" ca="1" si="20"/>
        <v>1</v>
      </c>
      <c r="Q126" s="1">
        <f t="shared" ca="1" si="20"/>
        <v>0</v>
      </c>
    </row>
    <row r="127" spans="1:17" x14ac:dyDescent="0.3">
      <c r="A127" s="1" t="s">
        <v>164</v>
      </c>
      <c r="B127" s="1" t="s">
        <v>240</v>
      </c>
      <c r="C127" s="1" t="s">
        <v>52</v>
      </c>
      <c r="D127" s="3">
        <f t="shared" ca="1" si="11"/>
        <v>56994236</v>
      </c>
      <c r="E127" s="3">
        <f t="shared" ca="1" si="12"/>
        <v>169829</v>
      </c>
      <c r="F127" s="3">
        <f t="shared" ca="1" si="13"/>
        <v>214</v>
      </c>
      <c r="G127" s="3">
        <f t="shared" ca="1" si="14"/>
        <v>7365799</v>
      </c>
      <c r="H127" s="3">
        <f t="shared" ca="1" si="15"/>
        <v>133</v>
      </c>
      <c r="I127" s="1" t="s">
        <v>47</v>
      </c>
      <c r="J127" s="3">
        <f t="shared" ca="1" si="16"/>
        <v>288152</v>
      </c>
      <c r="K127" s="3">
        <f t="shared" ca="1" si="17"/>
        <v>45</v>
      </c>
      <c r="L127" s="3">
        <f t="shared" ca="1" si="18"/>
        <v>28</v>
      </c>
      <c r="M127" s="4"/>
      <c r="N127" s="5">
        <f t="shared" si="19"/>
        <v>1</v>
      </c>
      <c r="O127" s="1">
        <f t="shared" ca="1" si="20"/>
        <v>0</v>
      </c>
      <c r="P127" s="1">
        <f t="shared" ca="1" si="20"/>
        <v>1</v>
      </c>
      <c r="Q127" s="1">
        <f t="shared" ca="1" si="20"/>
        <v>0</v>
      </c>
    </row>
    <row r="128" spans="1:17" x14ac:dyDescent="0.3">
      <c r="A128" s="1" t="s">
        <v>165</v>
      </c>
      <c r="B128" s="1" t="s">
        <v>240</v>
      </c>
      <c r="C128" s="1" t="s">
        <v>54</v>
      </c>
      <c r="D128" s="3">
        <f t="shared" ca="1" si="11"/>
        <v>19406244</v>
      </c>
      <c r="E128" s="3">
        <f t="shared" ca="1" si="12"/>
        <v>3390295</v>
      </c>
      <c r="F128" s="3">
        <f t="shared" ca="1" si="13"/>
        <v>500</v>
      </c>
      <c r="G128" s="3">
        <f t="shared" ca="1" si="14"/>
        <v>8456245</v>
      </c>
      <c r="H128" s="3">
        <f t="shared" ca="1" si="15"/>
        <v>430</v>
      </c>
      <c r="I128" s="1" t="s">
        <v>18</v>
      </c>
      <c r="J128" s="3">
        <f t="shared" ca="1" si="16"/>
        <v>572085</v>
      </c>
      <c r="K128" s="3">
        <f t="shared" ca="1" si="17"/>
        <v>501</v>
      </c>
      <c r="L128" s="3">
        <f t="shared" ca="1" si="18"/>
        <v>2</v>
      </c>
      <c r="M128" s="4"/>
      <c r="N128" s="5">
        <f t="shared" si="19"/>
        <v>1</v>
      </c>
      <c r="O128" s="1">
        <f t="shared" ca="1" si="20"/>
        <v>0</v>
      </c>
      <c r="P128" s="1">
        <f t="shared" ca="1" si="20"/>
        <v>0</v>
      </c>
      <c r="Q128" s="1">
        <f t="shared" ca="1" si="20"/>
        <v>1</v>
      </c>
    </row>
    <row r="129" spans="1:17" x14ac:dyDescent="0.3">
      <c r="A129" s="1" t="s">
        <v>166</v>
      </c>
      <c r="B129" s="1" t="s">
        <v>240</v>
      </c>
      <c r="C129" s="1" t="s">
        <v>54</v>
      </c>
      <c r="D129" s="3">
        <f t="shared" ca="1" si="11"/>
        <v>20657301</v>
      </c>
      <c r="E129" s="3">
        <f t="shared" ca="1" si="12"/>
        <v>1019338</v>
      </c>
      <c r="F129" s="3">
        <f t="shared" ca="1" si="13"/>
        <v>147</v>
      </c>
      <c r="G129" s="3">
        <f t="shared" ca="1" si="14"/>
        <v>818238</v>
      </c>
      <c r="H129" s="3">
        <f t="shared" ca="1" si="15"/>
        <v>165</v>
      </c>
      <c r="I129" s="1" t="s">
        <v>21</v>
      </c>
      <c r="J129" s="3">
        <f t="shared" ca="1" si="16"/>
        <v>543196</v>
      </c>
      <c r="K129" s="3">
        <f t="shared" ca="1" si="17"/>
        <v>444</v>
      </c>
      <c r="L129" s="3">
        <f t="shared" ca="1" si="18"/>
        <v>129</v>
      </c>
      <c r="M129" s="4"/>
      <c r="N129" s="5">
        <f t="shared" si="19"/>
        <v>1</v>
      </c>
      <c r="O129" s="1">
        <f t="shared" ca="1" si="20"/>
        <v>0</v>
      </c>
      <c r="P129" s="1">
        <f t="shared" ca="1" si="20"/>
        <v>1</v>
      </c>
      <c r="Q129" s="1">
        <f t="shared" ca="1" si="20"/>
        <v>0</v>
      </c>
    </row>
    <row r="130" spans="1:17" x14ac:dyDescent="0.3">
      <c r="A130" s="1" t="s">
        <v>167</v>
      </c>
      <c r="B130" s="1" t="s">
        <v>240</v>
      </c>
      <c r="C130" s="1" t="s">
        <v>20</v>
      </c>
      <c r="D130" s="3">
        <f t="shared" ca="1" si="11"/>
        <v>21609599</v>
      </c>
      <c r="E130" s="3">
        <f t="shared" ca="1" si="12"/>
        <v>3446492</v>
      </c>
      <c r="F130" s="3">
        <f t="shared" ca="1" si="13"/>
        <v>184</v>
      </c>
      <c r="G130" s="3">
        <f t="shared" ca="1" si="14"/>
        <v>391907</v>
      </c>
      <c r="H130" s="3">
        <f t="shared" ca="1" si="15"/>
        <v>46</v>
      </c>
      <c r="I130" s="1" t="s">
        <v>21</v>
      </c>
      <c r="J130" s="3">
        <f t="shared" ca="1" si="16"/>
        <v>506494</v>
      </c>
      <c r="K130" s="3">
        <f t="shared" ca="1" si="17"/>
        <v>382</v>
      </c>
      <c r="L130" s="3">
        <f t="shared" ca="1" si="18"/>
        <v>2</v>
      </c>
      <c r="M130" s="4"/>
      <c r="N130" s="5">
        <f t="shared" si="19"/>
        <v>1</v>
      </c>
      <c r="O130" s="1">
        <f t="shared" ca="1" si="20"/>
        <v>0</v>
      </c>
      <c r="P130" s="1">
        <f t="shared" ca="1" si="20"/>
        <v>0</v>
      </c>
      <c r="Q130" s="1">
        <f t="shared" ca="1" si="20"/>
        <v>0</v>
      </c>
    </row>
    <row r="131" spans="1:17" x14ac:dyDescent="0.3">
      <c r="A131" s="1" t="s">
        <v>168</v>
      </c>
      <c r="B131" s="1" t="s">
        <v>240</v>
      </c>
      <c r="C131" s="1" t="s">
        <v>20</v>
      </c>
      <c r="D131" s="3">
        <f t="shared" ref="D131:D194" ca="1" si="21">RANDBETWEEN(9000001,100000000)</f>
        <v>54080194</v>
      </c>
      <c r="E131" s="3">
        <f t="shared" ref="E131:E194" ca="1" si="22">RANDBETWEEN(10,9000000)</f>
        <v>6978931</v>
      </c>
      <c r="F131" s="3">
        <f t="shared" ref="F131:F194" ca="1" si="23">RANDBETWEEN(1,500)</f>
        <v>438</v>
      </c>
      <c r="G131" s="3">
        <f t="shared" ref="G131:G194" ca="1" si="24">RANDBETWEEN(10,10000000)</f>
        <v>1847808</v>
      </c>
      <c r="H131" s="3">
        <f t="shared" ref="H131:H194" ca="1" si="25">RANDBETWEEN(1,500)</f>
        <v>91</v>
      </c>
      <c r="I131" s="1" t="s">
        <v>18</v>
      </c>
      <c r="J131" s="3">
        <f t="shared" ref="J131:J194" ca="1" si="26">RANDBETWEEN(10000,600000)</f>
        <v>131308</v>
      </c>
      <c r="K131" s="3">
        <f t="shared" ref="K131:K194" ca="1" si="27">RANDBETWEEN(0,550)</f>
        <v>430</v>
      </c>
      <c r="L131" s="3">
        <f t="shared" ref="L131:L194" ca="1" si="28">RANDBETWEEN(0,130)</f>
        <v>56</v>
      </c>
      <c r="M131" s="4"/>
      <c r="N131" s="5">
        <f t="shared" ref="N131:N194" si="29">1-M131</f>
        <v>1</v>
      </c>
      <c r="O131" s="1">
        <f t="shared" ref="O131:Q194" ca="1" si="30">RANDBETWEEN(0,1)</f>
        <v>0</v>
      </c>
      <c r="P131" s="1">
        <f t="shared" ca="1" si="30"/>
        <v>1</v>
      </c>
      <c r="Q131" s="1">
        <f t="shared" ca="1" si="30"/>
        <v>1</v>
      </c>
    </row>
    <row r="132" spans="1:17" x14ac:dyDescent="0.3">
      <c r="A132" s="1" t="s">
        <v>169</v>
      </c>
      <c r="B132" s="1" t="s">
        <v>240</v>
      </c>
      <c r="C132" s="1" t="s">
        <v>20</v>
      </c>
      <c r="D132" s="3">
        <f t="shared" ca="1" si="21"/>
        <v>63151484</v>
      </c>
      <c r="E132" s="3">
        <f t="shared" ca="1" si="22"/>
        <v>8786169</v>
      </c>
      <c r="F132" s="3">
        <f t="shared" ca="1" si="23"/>
        <v>201</v>
      </c>
      <c r="G132" s="3">
        <f t="shared" ca="1" si="24"/>
        <v>4916168</v>
      </c>
      <c r="H132" s="3">
        <f t="shared" ca="1" si="25"/>
        <v>114</v>
      </c>
      <c r="I132" s="1" t="s">
        <v>28</v>
      </c>
      <c r="J132" s="3">
        <f t="shared" ca="1" si="26"/>
        <v>533571</v>
      </c>
      <c r="K132" s="3">
        <f t="shared" ca="1" si="27"/>
        <v>385</v>
      </c>
      <c r="L132" s="3">
        <f t="shared" ca="1" si="28"/>
        <v>30</v>
      </c>
      <c r="M132" s="4"/>
      <c r="N132" s="5">
        <f t="shared" si="29"/>
        <v>1</v>
      </c>
      <c r="O132" s="1">
        <f t="shared" ca="1" si="30"/>
        <v>0</v>
      </c>
      <c r="P132" s="1">
        <f t="shared" ca="1" si="30"/>
        <v>1</v>
      </c>
      <c r="Q132" s="1">
        <f t="shared" ca="1" si="30"/>
        <v>1</v>
      </c>
    </row>
    <row r="133" spans="1:17" x14ac:dyDescent="0.3">
      <c r="A133" s="1" t="s">
        <v>170</v>
      </c>
      <c r="B133" s="1" t="s">
        <v>240</v>
      </c>
      <c r="C133" s="1" t="s">
        <v>60</v>
      </c>
      <c r="D133" s="3">
        <f t="shared" ca="1" si="21"/>
        <v>34950385</v>
      </c>
      <c r="E133" s="3">
        <f t="shared" ca="1" si="22"/>
        <v>4890094</v>
      </c>
      <c r="F133" s="3">
        <f t="shared" ca="1" si="23"/>
        <v>348</v>
      </c>
      <c r="G133" s="3">
        <f t="shared" ca="1" si="24"/>
        <v>8791183</v>
      </c>
      <c r="H133" s="3">
        <f t="shared" ca="1" si="25"/>
        <v>348</v>
      </c>
      <c r="I133" s="1" t="s">
        <v>28</v>
      </c>
      <c r="J133" s="3">
        <f t="shared" ca="1" si="26"/>
        <v>99397</v>
      </c>
      <c r="K133" s="3">
        <f t="shared" ca="1" si="27"/>
        <v>197</v>
      </c>
      <c r="L133" s="3">
        <f t="shared" ca="1" si="28"/>
        <v>35</v>
      </c>
      <c r="M133" s="4"/>
      <c r="N133" s="5">
        <f t="shared" si="29"/>
        <v>1</v>
      </c>
      <c r="O133" s="1">
        <f t="shared" ca="1" si="30"/>
        <v>1</v>
      </c>
      <c r="P133" s="1">
        <f t="shared" ca="1" si="30"/>
        <v>1</v>
      </c>
      <c r="Q133" s="1">
        <f t="shared" ca="1" si="30"/>
        <v>1</v>
      </c>
    </row>
    <row r="134" spans="1:17" x14ac:dyDescent="0.3">
      <c r="A134" s="1" t="s">
        <v>171</v>
      </c>
      <c r="B134" s="1" t="s">
        <v>240</v>
      </c>
      <c r="C134" s="1" t="s">
        <v>17</v>
      </c>
      <c r="D134" s="3">
        <f t="shared" ca="1" si="21"/>
        <v>59522041</v>
      </c>
      <c r="E134" s="3">
        <f t="shared" ca="1" si="22"/>
        <v>3781745</v>
      </c>
      <c r="F134" s="3">
        <f t="shared" ca="1" si="23"/>
        <v>15</v>
      </c>
      <c r="G134" s="3">
        <f t="shared" ca="1" si="24"/>
        <v>6172992</v>
      </c>
      <c r="H134" s="3">
        <f t="shared" ca="1" si="25"/>
        <v>340</v>
      </c>
      <c r="I134" s="1" t="s">
        <v>33</v>
      </c>
      <c r="J134" s="3">
        <f t="shared" ca="1" si="26"/>
        <v>311451</v>
      </c>
      <c r="K134" s="3">
        <f t="shared" ca="1" si="27"/>
        <v>33</v>
      </c>
      <c r="L134" s="3">
        <f t="shared" ca="1" si="28"/>
        <v>60</v>
      </c>
      <c r="M134" s="4"/>
      <c r="N134" s="5">
        <f t="shared" si="29"/>
        <v>1</v>
      </c>
      <c r="O134" s="1">
        <f t="shared" ca="1" si="30"/>
        <v>0</v>
      </c>
      <c r="P134" s="1">
        <f t="shared" ca="1" si="30"/>
        <v>0</v>
      </c>
      <c r="Q134" s="1">
        <f t="shared" ca="1" si="30"/>
        <v>0</v>
      </c>
    </row>
    <row r="135" spans="1:17" x14ac:dyDescent="0.3">
      <c r="A135" s="1" t="s">
        <v>172</v>
      </c>
      <c r="B135" s="1" t="s">
        <v>240</v>
      </c>
      <c r="C135" s="1" t="s">
        <v>20</v>
      </c>
      <c r="D135" s="3">
        <f t="shared" ca="1" si="21"/>
        <v>29578591</v>
      </c>
      <c r="E135" s="3">
        <f t="shared" ca="1" si="22"/>
        <v>6075587</v>
      </c>
      <c r="F135" s="3">
        <f t="shared" ca="1" si="23"/>
        <v>363</v>
      </c>
      <c r="G135" s="3">
        <f t="shared" ca="1" si="24"/>
        <v>6482063</v>
      </c>
      <c r="H135" s="3">
        <f t="shared" ca="1" si="25"/>
        <v>292</v>
      </c>
      <c r="I135" s="1" t="s">
        <v>33</v>
      </c>
      <c r="J135" s="3">
        <f t="shared" ca="1" si="26"/>
        <v>531355</v>
      </c>
      <c r="K135" s="3">
        <f t="shared" ca="1" si="27"/>
        <v>6</v>
      </c>
      <c r="L135" s="3">
        <f t="shared" ca="1" si="28"/>
        <v>110</v>
      </c>
      <c r="M135" s="4"/>
      <c r="N135" s="5">
        <f t="shared" si="29"/>
        <v>1</v>
      </c>
      <c r="O135" s="1">
        <f t="shared" ca="1" si="30"/>
        <v>0</v>
      </c>
      <c r="P135" s="1">
        <f t="shared" ca="1" si="30"/>
        <v>1</v>
      </c>
      <c r="Q135" s="1">
        <f t="shared" ca="1" si="30"/>
        <v>1</v>
      </c>
    </row>
    <row r="136" spans="1:17" x14ac:dyDescent="0.3">
      <c r="A136" s="1" t="s">
        <v>173</v>
      </c>
      <c r="B136" s="1" t="s">
        <v>240</v>
      </c>
      <c r="C136" s="1" t="s">
        <v>23</v>
      </c>
      <c r="D136" s="3">
        <f t="shared" ca="1" si="21"/>
        <v>69725728</v>
      </c>
      <c r="E136" s="3">
        <f t="shared" ca="1" si="22"/>
        <v>3611959</v>
      </c>
      <c r="F136" s="3">
        <f t="shared" ca="1" si="23"/>
        <v>493</v>
      </c>
      <c r="G136" s="3">
        <f t="shared" ca="1" si="24"/>
        <v>4642538</v>
      </c>
      <c r="H136" s="3">
        <f t="shared" ca="1" si="25"/>
        <v>465</v>
      </c>
      <c r="I136" s="1" t="s">
        <v>38</v>
      </c>
      <c r="J136" s="3">
        <f t="shared" ca="1" si="26"/>
        <v>362814</v>
      </c>
      <c r="K136" s="3">
        <f t="shared" ca="1" si="27"/>
        <v>542</v>
      </c>
      <c r="L136" s="3">
        <f t="shared" ca="1" si="28"/>
        <v>119</v>
      </c>
      <c r="M136" s="4"/>
      <c r="N136" s="5">
        <f t="shared" si="29"/>
        <v>1</v>
      </c>
      <c r="O136" s="1">
        <f t="shared" ca="1" si="30"/>
        <v>1</v>
      </c>
      <c r="P136" s="1">
        <f t="shared" ca="1" si="30"/>
        <v>0</v>
      </c>
      <c r="Q136" s="1">
        <f t="shared" ca="1" si="30"/>
        <v>1</v>
      </c>
    </row>
    <row r="137" spans="1:17" x14ac:dyDescent="0.3">
      <c r="A137" s="1" t="s">
        <v>174</v>
      </c>
      <c r="B137" s="1" t="s">
        <v>240</v>
      </c>
      <c r="C137" s="1" t="s">
        <v>25</v>
      </c>
      <c r="D137" s="3">
        <f t="shared" ca="1" si="21"/>
        <v>48175728</v>
      </c>
      <c r="E137" s="3">
        <f t="shared" ca="1" si="22"/>
        <v>4981965</v>
      </c>
      <c r="F137" s="3">
        <f t="shared" ca="1" si="23"/>
        <v>179</v>
      </c>
      <c r="G137" s="3">
        <f t="shared" ca="1" si="24"/>
        <v>5732679</v>
      </c>
      <c r="H137" s="3">
        <f t="shared" ca="1" si="25"/>
        <v>318</v>
      </c>
      <c r="I137" s="1" t="s">
        <v>41</v>
      </c>
      <c r="J137" s="3">
        <f t="shared" ca="1" si="26"/>
        <v>332457</v>
      </c>
      <c r="K137" s="3">
        <f t="shared" ca="1" si="27"/>
        <v>21</v>
      </c>
      <c r="L137" s="3">
        <f t="shared" ca="1" si="28"/>
        <v>97</v>
      </c>
      <c r="M137" s="4"/>
      <c r="N137" s="5">
        <f t="shared" si="29"/>
        <v>1</v>
      </c>
      <c r="O137" s="1">
        <f t="shared" ca="1" si="30"/>
        <v>1</v>
      </c>
      <c r="P137" s="1">
        <f t="shared" ca="1" si="30"/>
        <v>0</v>
      </c>
      <c r="Q137" s="1">
        <f t="shared" ca="1" si="30"/>
        <v>1</v>
      </c>
    </row>
    <row r="138" spans="1:17" x14ac:dyDescent="0.3">
      <c r="A138" s="1" t="s">
        <v>175</v>
      </c>
      <c r="B138" s="1" t="s">
        <v>240</v>
      </c>
      <c r="C138" s="1" t="s">
        <v>27</v>
      </c>
      <c r="D138" s="3">
        <f t="shared" ca="1" si="21"/>
        <v>14245511</v>
      </c>
      <c r="E138" s="3">
        <f t="shared" ca="1" si="22"/>
        <v>8823386</v>
      </c>
      <c r="F138" s="3">
        <f t="shared" ca="1" si="23"/>
        <v>162</v>
      </c>
      <c r="G138" s="3">
        <f t="shared" ca="1" si="24"/>
        <v>7657345</v>
      </c>
      <c r="H138" s="3">
        <f t="shared" ca="1" si="25"/>
        <v>14</v>
      </c>
      <c r="I138" s="1" t="s">
        <v>38</v>
      </c>
      <c r="J138" s="3">
        <f t="shared" ca="1" si="26"/>
        <v>477004</v>
      </c>
      <c r="K138" s="3">
        <f t="shared" ca="1" si="27"/>
        <v>118</v>
      </c>
      <c r="L138" s="3">
        <f t="shared" ca="1" si="28"/>
        <v>127</v>
      </c>
      <c r="M138" s="4"/>
      <c r="N138" s="5">
        <f t="shared" si="29"/>
        <v>1</v>
      </c>
      <c r="O138" s="1">
        <f t="shared" ca="1" si="30"/>
        <v>1</v>
      </c>
      <c r="P138" s="1">
        <f t="shared" ca="1" si="30"/>
        <v>0</v>
      </c>
      <c r="Q138" s="1">
        <f t="shared" ca="1" si="30"/>
        <v>0</v>
      </c>
    </row>
    <row r="139" spans="1:17" x14ac:dyDescent="0.3">
      <c r="A139" s="1" t="s">
        <v>176</v>
      </c>
      <c r="B139" s="1" t="s">
        <v>240</v>
      </c>
      <c r="C139" s="1" t="s">
        <v>30</v>
      </c>
      <c r="D139" s="3">
        <f t="shared" ca="1" si="21"/>
        <v>13162462</v>
      </c>
      <c r="E139" s="3">
        <f t="shared" ca="1" si="22"/>
        <v>1167184</v>
      </c>
      <c r="F139" s="3">
        <f t="shared" ca="1" si="23"/>
        <v>218</v>
      </c>
      <c r="G139" s="3">
        <f t="shared" ca="1" si="24"/>
        <v>1356925</v>
      </c>
      <c r="H139" s="3">
        <f t="shared" ca="1" si="25"/>
        <v>468</v>
      </c>
      <c r="I139" s="1" t="s">
        <v>41</v>
      </c>
      <c r="J139" s="3">
        <f t="shared" ca="1" si="26"/>
        <v>193257</v>
      </c>
      <c r="K139" s="3">
        <f t="shared" ca="1" si="27"/>
        <v>405</v>
      </c>
      <c r="L139" s="3">
        <f t="shared" ca="1" si="28"/>
        <v>17</v>
      </c>
      <c r="M139" s="4"/>
      <c r="N139" s="5">
        <f t="shared" si="29"/>
        <v>1</v>
      </c>
      <c r="O139" s="1">
        <f t="shared" ca="1" si="30"/>
        <v>0</v>
      </c>
      <c r="P139" s="1">
        <f t="shared" ca="1" si="30"/>
        <v>1</v>
      </c>
      <c r="Q139" s="1">
        <f t="shared" ca="1" si="30"/>
        <v>1</v>
      </c>
    </row>
    <row r="140" spans="1:17" x14ac:dyDescent="0.3">
      <c r="A140" s="1" t="s">
        <v>177</v>
      </c>
      <c r="B140" s="1" t="s">
        <v>240</v>
      </c>
      <c r="C140" s="1" t="s">
        <v>32</v>
      </c>
      <c r="D140" s="3">
        <f t="shared" ca="1" si="21"/>
        <v>87629033</v>
      </c>
      <c r="E140" s="3">
        <f t="shared" ca="1" si="22"/>
        <v>1179805</v>
      </c>
      <c r="F140" s="3">
        <f t="shared" ca="1" si="23"/>
        <v>315</v>
      </c>
      <c r="G140" s="3">
        <f t="shared" ca="1" si="24"/>
        <v>7661823</v>
      </c>
      <c r="H140" s="3">
        <f t="shared" ca="1" si="25"/>
        <v>305</v>
      </c>
      <c r="I140" s="1" t="s">
        <v>47</v>
      </c>
      <c r="J140" s="3">
        <f t="shared" ca="1" si="26"/>
        <v>581587</v>
      </c>
      <c r="K140" s="3">
        <f t="shared" ca="1" si="27"/>
        <v>487</v>
      </c>
      <c r="L140" s="3">
        <f t="shared" ca="1" si="28"/>
        <v>82</v>
      </c>
      <c r="M140" s="4"/>
      <c r="N140" s="5">
        <f t="shared" si="29"/>
        <v>1</v>
      </c>
      <c r="O140" s="1">
        <f t="shared" ca="1" si="30"/>
        <v>1</v>
      </c>
      <c r="P140" s="1">
        <f t="shared" ca="1" si="30"/>
        <v>0</v>
      </c>
      <c r="Q140" s="1">
        <f t="shared" ca="1" si="30"/>
        <v>1</v>
      </c>
    </row>
    <row r="141" spans="1:17" x14ac:dyDescent="0.3">
      <c r="A141" s="1" t="s">
        <v>178</v>
      </c>
      <c r="B141" s="1" t="s">
        <v>240</v>
      </c>
      <c r="C141" s="1" t="s">
        <v>35</v>
      </c>
      <c r="D141" s="3">
        <f t="shared" ca="1" si="21"/>
        <v>68493623</v>
      </c>
      <c r="E141" s="3">
        <f t="shared" ca="1" si="22"/>
        <v>7367060</v>
      </c>
      <c r="F141" s="3">
        <f t="shared" ca="1" si="23"/>
        <v>297</v>
      </c>
      <c r="G141" s="3">
        <f t="shared" ca="1" si="24"/>
        <v>1225963</v>
      </c>
      <c r="H141" s="3">
        <f t="shared" ca="1" si="25"/>
        <v>244</v>
      </c>
      <c r="I141" s="1" t="s">
        <v>47</v>
      </c>
      <c r="J141" s="3">
        <f t="shared" ca="1" si="26"/>
        <v>185179</v>
      </c>
      <c r="K141" s="3">
        <f t="shared" ca="1" si="27"/>
        <v>62</v>
      </c>
      <c r="L141" s="3">
        <f t="shared" ca="1" si="28"/>
        <v>110</v>
      </c>
      <c r="M141" s="4"/>
      <c r="N141" s="5">
        <f t="shared" si="29"/>
        <v>1</v>
      </c>
      <c r="O141" s="1">
        <f t="shared" ca="1" si="30"/>
        <v>0</v>
      </c>
      <c r="P141" s="1">
        <f t="shared" ca="1" si="30"/>
        <v>0</v>
      </c>
      <c r="Q141" s="1">
        <f t="shared" ca="1" si="30"/>
        <v>1</v>
      </c>
    </row>
    <row r="142" spans="1:17" x14ac:dyDescent="0.3">
      <c r="A142" s="1" t="s">
        <v>179</v>
      </c>
      <c r="B142" s="1" t="s">
        <v>240</v>
      </c>
      <c r="C142" s="1" t="s">
        <v>37</v>
      </c>
      <c r="D142" s="3">
        <f t="shared" ca="1" si="21"/>
        <v>44509167</v>
      </c>
      <c r="E142" s="3">
        <f t="shared" ca="1" si="22"/>
        <v>1990021</v>
      </c>
      <c r="F142" s="3">
        <f t="shared" ca="1" si="23"/>
        <v>309</v>
      </c>
      <c r="G142" s="3">
        <f t="shared" ca="1" si="24"/>
        <v>9168966</v>
      </c>
      <c r="H142" s="3">
        <f t="shared" ca="1" si="25"/>
        <v>5</v>
      </c>
      <c r="I142" s="1" t="s">
        <v>18</v>
      </c>
      <c r="J142" s="3">
        <f t="shared" ca="1" si="26"/>
        <v>314429</v>
      </c>
      <c r="K142" s="3">
        <f t="shared" ca="1" si="27"/>
        <v>533</v>
      </c>
      <c r="L142" s="3">
        <f t="shared" ca="1" si="28"/>
        <v>35</v>
      </c>
      <c r="M142" s="4"/>
      <c r="N142" s="5">
        <f t="shared" si="29"/>
        <v>1</v>
      </c>
      <c r="O142" s="1">
        <f t="shared" ca="1" si="30"/>
        <v>1</v>
      </c>
      <c r="P142" s="1">
        <f t="shared" ca="1" si="30"/>
        <v>1</v>
      </c>
      <c r="Q142" s="1">
        <f t="shared" ca="1" si="30"/>
        <v>0</v>
      </c>
    </row>
    <row r="143" spans="1:17" x14ac:dyDescent="0.3">
      <c r="A143" s="1" t="s">
        <v>180</v>
      </c>
      <c r="B143" s="1" t="s">
        <v>240</v>
      </c>
      <c r="C143" s="1" t="s">
        <v>40</v>
      </c>
      <c r="D143" s="3">
        <f t="shared" ca="1" si="21"/>
        <v>45811651</v>
      </c>
      <c r="E143" s="3">
        <f t="shared" ca="1" si="22"/>
        <v>1788525</v>
      </c>
      <c r="F143" s="3">
        <f t="shared" ca="1" si="23"/>
        <v>381</v>
      </c>
      <c r="G143" s="3">
        <f t="shared" ca="1" si="24"/>
        <v>3386687</v>
      </c>
      <c r="H143" s="3">
        <f t="shared" ca="1" si="25"/>
        <v>447</v>
      </c>
      <c r="I143" s="1" t="s">
        <v>21</v>
      </c>
      <c r="J143" s="3">
        <f t="shared" ca="1" si="26"/>
        <v>20128</v>
      </c>
      <c r="K143" s="3">
        <f t="shared" ca="1" si="27"/>
        <v>372</v>
      </c>
      <c r="L143" s="3">
        <f t="shared" ca="1" si="28"/>
        <v>94</v>
      </c>
      <c r="M143" s="4"/>
      <c r="N143" s="5">
        <f t="shared" si="29"/>
        <v>1</v>
      </c>
      <c r="O143" s="1">
        <f t="shared" ca="1" si="30"/>
        <v>0</v>
      </c>
      <c r="P143" s="1">
        <f t="shared" ca="1" si="30"/>
        <v>1</v>
      </c>
      <c r="Q143" s="1">
        <f t="shared" ca="1" si="30"/>
        <v>0</v>
      </c>
    </row>
    <row r="144" spans="1:17" x14ac:dyDescent="0.3">
      <c r="A144" s="1" t="s">
        <v>181</v>
      </c>
      <c r="B144" s="1" t="s">
        <v>240</v>
      </c>
      <c r="C144" s="1" t="s">
        <v>43</v>
      </c>
      <c r="D144" s="3">
        <f t="shared" ca="1" si="21"/>
        <v>57368701</v>
      </c>
      <c r="E144" s="3">
        <f t="shared" ca="1" si="22"/>
        <v>961373</v>
      </c>
      <c r="F144" s="3">
        <f t="shared" ca="1" si="23"/>
        <v>189</v>
      </c>
      <c r="G144" s="3">
        <f t="shared" ca="1" si="24"/>
        <v>6389556</v>
      </c>
      <c r="H144" s="3">
        <f t="shared" ca="1" si="25"/>
        <v>177</v>
      </c>
      <c r="I144" s="1" t="s">
        <v>21</v>
      </c>
      <c r="J144" s="3">
        <f t="shared" ca="1" si="26"/>
        <v>450014</v>
      </c>
      <c r="K144" s="3">
        <f t="shared" ca="1" si="27"/>
        <v>533</v>
      </c>
      <c r="L144" s="3">
        <f t="shared" ca="1" si="28"/>
        <v>13</v>
      </c>
      <c r="M144" s="4"/>
      <c r="N144" s="5">
        <f t="shared" si="29"/>
        <v>1</v>
      </c>
      <c r="O144" s="1">
        <f t="shared" ca="1" si="30"/>
        <v>0</v>
      </c>
      <c r="P144" s="1">
        <f t="shared" ca="1" si="30"/>
        <v>0</v>
      </c>
      <c r="Q144" s="1">
        <f t="shared" ca="1" si="30"/>
        <v>0</v>
      </c>
    </row>
    <row r="145" spans="1:17" x14ac:dyDescent="0.3">
      <c r="A145" s="1" t="s">
        <v>182</v>
      </c>
      <c r="B145" s="1" t="s">
        <v>240</v>
      </c>
      <c r="C145" s="1" t="s">
        <v>45</v>
      </c>
      <c r="D145" s="3">
        <f t="shared" ca="1" si="21"/>
        <v>62441362</v>
      </c>
      <c r="E145" s="3">
        <f t="shared" ca="1" si="22"/>
        <v>4610341</v>
      </c>
      <c r="F145" s="3">
        <f t="shared" ca="1" si="23"/>
        <v>226</v>
      </c>
      <c r="G145" s="3">
        <f t="shared" ca="1" si="24"/>
        <v>1138592</v>
      </c>
      <c r="H145" s="3">
        <f t="shared" ca="1" si="25"/>
        <v>77</v>
      </c>
      <c r="I145" s="1" t="s">
        <v>18</v>
      </c>
      <c r="J145" s="3">
        <f t="shared" ca="1" si="26"/>
        <v>305849</v>
      </c>
      <c r="K145" s="3">
        <f t="shared" ca="1" si="27"/>
        <v>237</v>
      </c>
      <c r="L145" s="3">
        <f t="shared" ca="1" si="28"/>
        <v>47</v>
      </c>
      <c r="M145" s="4"/>
      <c r="N145" s="5">
        <f t="shared" si="29"/>
        <v>1</v>
      </c>
      <c r="O145" s="1">
        <f t="shared" ca="1" si="30"/>
        <v>1</v>
      </c>
      <c r="P145" s="1">
        <f t="shared" ca="1" si="30"/>
        <v>0</v>
      </c>
      <c r="Q145" s="1">
        <f t="shared" ca="1" si="30"/>
        <v>1</v>
      </c>
    </row>
    <row r="146" spans="1:17" x14ac:dyDescent="0.3">
      <c r="A146" s="1" t="s">
        <v>183</v>
      </c>
      <c r="B146" s="1" t="s">
        <v>240</v>
      </c>
      <c r="C146" s="1" t="s">
        <v>23</v>
      </c>
      <c r="D146" s="3">
        <f t="shared" ca="1" si="21"/>
        <v>56426323</v>
      </c>
      <c r="E146" s="3">
        <f t="shared" ca="1" si="22"/>
        <v>3347339</v>
      </c>
      <c r="F146" s="3">
        <f t="shared" ca="1" si="23"/>
        <v>256</v>
      </c>
      <c r="G146" s="3">
        <f t="shared" ca="1" si="24"/>
        <v>8011023</v>
      </c>
      <c r="H146" s="3">
        <f t="shared" ca="1" si="25"/>
        <v>256</v>
      </c>
      <c r="I146" s="1" t="s">
        <v>28</v>
      </c>
      <c r="J146" s="3">
        <f t="shared" ca="1" si="26"/>
        <v>195381</v>
      </c>
      <c r="K146" s="3">
        <f t="shared" ca="1" si="27"/>
        <v>321</v>
      </c>
      <c r="L146" s="3">
        <f t="shared" ca="1" si="28"/>
        <v>35</v>
      </c>
      <c r="M146" s="4"/>
      <c r="N146" s="5">
        <f t="shared" si="29"/>
        <v>1</v>
      </c>
      <c r="O146" s="1">
        <f t="shared" ca="1" si="30"/>
        <v>0</v>
      </c>
      <c r="P146" s="1">
        <f t="shared" ca="1" si="30"/>
        <v>1</v>
      </c>
      <c r="Q146" s="1">
        <f t="shared" ca="1" si="30"/>
        <v>1</v>
      </c>
    </row>
    <row r="147" spans="1:17" x14ac:dyDescent="0.3">
      <c r="A147" s="1" t="s">
        <v>184</v>
      </c>
      <c r="B147" s="1" t="s">
        <v>240</v>
      </c>
      <c r="C147" s="1" t="s">
        <v>49</v>
      </c>
      <c r="D147" s="3">
        <f t="shared" ca="1" si="21"/>
        <v>88656764</v>
      </c>
      <c r="E147" s="3">
        <f t="shared" ca="1" si="22"/>
        <v>5941737</v>
      </c>
      <c r="F147" s="3">
        <f t="shared" ca="1" si="23"/>
        <v>296</v>
      </c>
      <c r="G147" s="3">
        <f t="shared" ca="1" si="24"/>
        <v>9282958</v>
      </c>
      <c r="H147" s="3">
        <f t="shared" ca="1" si="25"/>
        <v>80</v>
      </c>
      <c r="I147" s="1" t="s">
        <v>28</v>
      </c>
      <c r="J147" s="3">
        <f t="shared" ca="1" si="26"/>
        <v>377959</v>
      </c>
      <c r="K147" s="3">
        <f t="shared" ca="1" si="27"/>
        <v>505</v>
      </c>
      <c r="L147" s="3">
        <f t="shared" ca="1" si="28"/>
        <v>4</v>
      </c>
      <c r="M147" s="4"/>
      <c r="N147" s="5">
        <f t="shared" si="29"/>
        <v>1</v>
      </c>
      <c r="O147" s="1">
        <f t="shared" ca="1" si="30"/>
        <v>0</v>
      </c>
      <c r="P147" s="1">
        <f t="shared" ca="1" si="30"/>
        <v>0</v>
      </c>
      <c r="Q147" s="1">
        <f t="shared" ca="1" si="30"/>
        <v>0</v>
      </c>
    </row>
    <row r="148" spans="1:17" x14ac:dyDescent="0.3">
      <c r="A148" s="1" t="s">
        <v>185</v>
      </c>
      <c r="B148" s="1" t="s">
        <v>240</v>
      </c>
      <c r="C148" s="1" t="s">
        <v>49</v>
      </c>
      <c r="D148" s="3">
        <f t="shared" ca="1" si="21"/>
        <v>63459595</v>
      </c>
      <c r="E148" s="3">
        <f t="shared" ca="1" si="22"/>
        <v>613179</v>
      </c>
      <c r="F148" s="3">
        <f t="shared" ca="1" si="23"/>
        <v>468</v>
      </c>
      <c r="G148" s="3">
        <f t="shared" ca="1" si="24"/>
        <v>7264210</v>
      </c>
      <c r="H148" s="3">
        <f t="shared" ca="1" si="25"/>
        <v>467</v>
      </c>
      <c r="I148" s="1" t="s">
        <v>33</v>
      </c>
      <c r="J148" s="3">
        <f t="shared" ca="1" si="26"/>
        <v>521074</v>
      </c>
      <c r="K148" s="3">
        <f t="shared" ca="1" si="27"/>
        <v>252</v>
      </c>
      <c r="L148" s="3">
        <f t="shared" ca="1" si="28"/>
        <v>37</v>
      </c>
      <c r="M148" s="4"/>
      <c r="N148" s="5">
        <f t="shared" si="29"/>
        <v>1</v>
      </c>
      <c r="O148" s="1">
        <f t="shared" ca="1" si="30"/>
        <v>1</v>
      </c>
      <c r="P148" s="1">
        <f t="shared" ca="1" si="30"/>
        <v>0</v>
      </c>
      <c r="Q148" s="1">
        <f t="shared" ca="1" si="30"/>
        <v>1</v>
      </c>
    </row>
    <row r="149" spans="1:17" x14ac:dyDescent="0.3">
      <c r="A149" s="1" t="s">
        <v>186</v>
      </c>
      <c r="B149" s="1" t="s">
        <v>240</v>
      </c>
      <c r="C149" s="1" t="s">
        <v>52</v>
      </c>
      <c r="D149" s="3">
        <f t="shared" ca="1" si="21"/>
        <v>22451849</v>
      </c>
      <c r="E149" s="3">
        <f t="shared" ca="1" si="22"/>
        <v>1010687</v>
      </c>
      <c r="F149" s="3">
        <f t="shared" ca="1" si="23"/>
        <v>357</v>
      </c>
      <c r="G149" s="3">
        <f t="shared" ca="1" si="24"/>
        <v>8508194</v>
      </c>
      <c r="H149" s="3">
        <f t="shared" ca="1" si="25"/>
        <v>277</v>
      </c>
      <c r="I149" s="1" t="s">
        <v>33</v>
      </c>
      <c r="J149" s="3">
        <f t="shared" ca="1" si="26"/>
        <v>525654</v>
      </c>
      <c r="K149" s="3">
        <f t="shared" ca="1" si="27"/>
        <v>490</v>
      </c>
      <c r="L149" s="3">
        <f t="shared" ca="1" si="28"/>
        <v>74</v>
      </c>
      <c r="M149" s="4"/>
      <c r="N149" s="5">
        <f t="shared" si="29"/>
        <v>1</v>
      </c>
      <c r="O149" s="1">
        <f t="shared" ca="1" si="30"/>
        <v>1</v>
      </c>
      <c r="P149" s="1">
        <f t="shared" ca="1" si="30"/>
        <v>0</v>
      </c>
      <c r="Q149" s="1">
        <f t="shared" ca="1" si="30"/>
        <v>1</v>
      </c>
    </row>
    <row r="150" spans="1:17" x14ac:dyDescent="0.3">
      <c r="A150" s="1" t="s">
        <v>187</v>
      </c>
      <c r="B150" s="1" t="s">
        <v>240</v>
      </c>
      <c r="C150" s="1" t="s">
        <v>54</v>
      </c>
      <c r="D150" s="3">
        <f t="shared" ca="1" si="21"/>
        <v>66963570</v>
      </c>
      <c r="E150" s="3">
        <f t="shared" ca="1" si="22"/>
        <v>234719</v>
      </c>
      <c r="F150" s="3">
        <f t="shared" ca="1" si="23"/>
        <v>471</v>
      </c>
      <c r="G150" s="3">
        <f t="shared" ca="1" si="24"/>
        <v>7976391</v>
      </c>
      <c r="H150" s="3">
        <f t="shared" ca="1" si="25"/>
        <v>391</v>
      </c>
      <c r="I150" s="1" t="s">
        <v>38</v>
      </c>
      <c r="J150" s="3">
        <f t="shared" ca="1" si="26"/>
        <v>74871</v>
      </c>
      <c r="K150" s="3">
        <f t="shared" ca="1" si="27"/>
        <v>219</v>
      </c>
      <c r="L150" s="3">
        <f t="shared" ca="1" si="28"/>
        <v>100</v>
      </c>
      <c r="M150" s="4"/>
      <c r="N150" s="5">
        <f t="shared" si="29"/>
        <v>1</v>
      </c>
      <c r="O150" s="1">
        <f t="shared" ca="1" si="30"/>
        <v>0</v>
      </c>
      <c r="P150" s="1">
        <f t="shared" ca="1" si="30"/>
        <v>0</v>
      </c>
      <c r="Q150" s="1">
        <f t="shared" ca="1" si="30"/>
        <v>1</v>
      </c>
    </row>
    <row r="151" spans="1:17" x14ac:dyDescent="0.3">
      <c r="A151" s="1" t="s">
        <v>188</v>
      </c>
      <c r="B151" s="1" t="s">
        <v>240</v>
      </c>
      <c r="C151" s="1" t="s">
        <v>54</v>
      </c>
      <c r="D151" s="3">
        <f t="shared" ca="1" si="21"/>
        <v>72235709</v>
      </c>
      <c r="E151" s="3">
        <f t="shared" ca="1" si="22"/>
        <v>8553912</v>
      </c>
      <c r="F151" s="3">
        <f t="shared" ca="1" si="23"/>
        <v>311</v>
      </c>
      <c r="G151" s="3">
        <f t="shared" ca="1" si="24"/>
        <v>1360428</v>
      </c>
      <c r="H151" s="3">
        <f t="shared" ca="1" si="25"/>
        <v>386</v>
      </c>
      <c r="I151" s="1" t="s">
        <v>41</v>
      </c>
      <c r="J151" s="3">
        <f t="shared" ca="1" si="26"/>
        <v>385474</v>
      </c>
      <c r="K151" s="3">
        <f t="shared" ca="1" si="27"/>
        <v>455</v>
      </c>
      <c r="L151" s="3">
        <f t="shared" ca="1" si="28"/>
        <v>11</v>
      </c>
      <c r="M151" s="4"/>
      <c r="N151" s="5">
        <f t="shared" si="29"/>
        <v>1</v>
      </c>
      <c r="O151" s="1">
        <f t="shared" ca="1" si="30"/>
        <v>0</v>
      </c>
      <c r="P151" s="1">
        <f t="shared" ca="1" si="30"/>
        <v>1</v>
      </c>
      <c r="Q151" s="1">
        <f t="shared" ca="1" si="30"/>
        <v>1</v>
      </c>
    </row>
    <row r="152" spans="1:17" x14ac:dyDescent="0.3">
      <c r="A152" s="1" t="s">
        <v>189</v>
      </c>
      <c r="B152" s="1" t="s">
        <v>240</v>
      </c>
      <c r="C152" s="1" t="s">
        <v>20</v>
      </c>
      <c r="D152" s="3">
        <f t="shared" ca="1" si="21"/>
        <v>32487438</v>
      </c>
      <c r="E152" s="3">
        <f t="shared" ca="1" si="22"/>
        <v>306093</v>
      </c>
      <c r="F152" s="3">
        <f t="shared" ca="1" si="23"/>
        <v>165</v>
      </c>
      <c r="G152" s="3">
        <f t="shared" ca="1" si="24"/>
        <v>1671875</v>
      </c>
      <c r="H152" s="3">
        <f t="shared" ca="1" si="25"/>
        <v>127</v>
      </c>
      <c r="I152" s="1" t="s">
        <v>38</v>
      </c>
      <c r="J152" s="3">
        <f t="shared" ca="1" si="26"/>
        <v>276109</v>
      </c>
      <c r="K152" s="3">
        <f t="shared" ca="1" si="27"/>
        <v>21</v>
      </c>
      <c r="L152" s="3">
        <f t="shared" ca="1" si="28"/>
        <v>7</v>
      </c>
      <c r="M152" s="4"/>
      <c r="N152" s="5">
        <f t="shared" si="29"/>
        <v>1</v>
      </c>
      <c r="O152" s="1">
        <f t="shared" ca="1" si="30"/>
        <v>0</v>
      </c>
      <c r="P152" s="1">
        <f t="shared" ca="1" si="30"/>
        <v>1</v>
      </c>
      <c r="Q152" s="1">
        <f t="shared" ca="1" si="30"/>
        <v>1</v>
      </c>
    </row>
    <row r="153" spans="1:17" x14ac:dyDescent="0.3">
      <c r="A153" s="1" t="s">
        <v>190</v>
      </c>
      <c r="B153" s="1" t="s">
        <v>240</v>
      </c>
      <c r="C153" s="1" t="s">
        <v>20</v>
      </c>
      <c r="D153" s="3">
        <f t="shared" ca="1" si="21"/>
        <v>92439339</v>
      </c>
      <c r="E153" s="3">
        <f t="shared" ca="1" si="22"/>
        <v>524839</v>
      </c>
      <c r="F153" s="3">
        <f t="shared" ca="1" si="23"/>
        <v>356</v>
      </c>
      <c r="G153" s="3">
        <f t="shared" ca="1" si="24"/>
        <v>414723</v>
      </c>
      <c r="H153" s="3">
        <f t="shared" ca="1" si="25"/>
        <v>434</v>
      </c>
      <c r="I153" s="1" t="s">
        <v>41</v>
      </c>
      <c r="J153" s="3">
        <f t="shared" ca="1" si="26"/>
        <v>495676</v>
      </c>
      <c r="K153" s="3">
        <f t="shared" ca="1" si="27"/>
        <v>336</v>
      </c>
      <c r="L153" s="3">
        <f t="shared" ca="1" si="28"/>
        <v>63</v>
      </c>
      <c r="M153" s="4"/>
      <c r="N153" s="5">
        <f t="shared" si="29"/>
        <v>1</v>
      </c>
      <c r="O153" s="1">
        <f t="shared" ca="1" si="30"/>
        <v>0</v>
      </c>
      <c r="P153" s="1">
        <f t="shared" ca="1" si="30"/>
        <v>1</v>
      </c>
      <c r="Q153" s="1">
        <f t="shared" ca="1" si="30"/>
        <v>0</v>
      </c>
    </row>
    <row r="154" spans="1:17" x14ac:dyDescent="0.3">
      <c r="A154" s="1" t="s">
        <v>191</v>
      </c>
      <c r="B154" s="1" t="s">
        <v>240</v>
      </c>
      <c r="C154" s="1" t="s">
        <v>20</v>
      </c>
      <c r="D154" s="3">
        <f t="shared" ca="1" si="21"/>
        <v>60350314</v>
      </c>
      <c r="E154" s="3">
        <f t="shared" ca="1" si="22"/>
        <v>8694560</v>
      </c>
      <c r="F154" s="3">
        <f t="shared" ca="1" si="23"/>
        <v>325</v>
      </c>
      <c r="G154" s="3">
        <f t="shared" ca="1" si="24"/>
        <v>2874845</v>
      </c>
      <c r="H154" s="3">
        <f t="shared" ca="1" si="25"/>
        <v>496</v>
      </c>
      <c r="I154" s="1" t="s">
        <v>47</v>
      </c>
      <c r="J154" s="3">
        <f t="shared" ca="1" si="26"/>
        <v>342316</v>
      </c>
      <c r="K154" s="3">
        <f t="shared" ca="1" si="27"/>
        <v>61</v>
      </c>
      <c r="L154" s="3">
        <f t="shared" ca="1" si="28"/>
        <v>20</v>
      </c>
      <c r="M154" s="4"/>
      <c r="N154" s="5">
        <f t="shared" si="29"/>
        <v>1</v>
      </c>
      <c r="O154" s="1">
        <f t="shared" ca="1" si="30"/>
        <v>1</v>
      </c>
      <c r="P154" s="1">
        <f t="shared" ca="1" si="30"/>
        <v>1</v>
      </c>
      <c r="Q154" s="1">
        <f t="shared" ca="1" si="30"/>
        <v>1</v>
      </c>
    </row>
    <row r="155" spans="1:17" x14ac:dyDescent="0.3">
      <c r="A155" s="1" t="s">
        <v>192</v>
      </c>
      <c r="B155" s="1" t="s">
        <v>240</v>
      </c>
      <c r="C155" s="1" t="s">
        <v>60</v>
      </c>
      <c r="D155" s="3">
        <f t="shared" ca="1" si="21"/>
        <v>15374472</v>
      </c>
      <c r="E155" s="3">
        <f t="shared" ca="1" si="22"/>
        <v>5928365</v>
      </c>
      <c r="F155" s="3">
        <f t="shared" ca="1" si="23"/>
        <v>326</v>
      </c>
      <c r="G155" s="3">
        <f t="shared" ca="1" si="24"/>
        <v>1838590</v>
      </c>
      <c r="H155" s="3">
        <f t="shared" ca="1" si="25"/>
        <v>6</v>
      </c>
      <c r="I155" s="1" t="s">
        <v>47</v>
      </c>
      <c r="J155" s="3">
        <f t="shared" ca="1" si="26"/>
        <v>169171</v>
      </c>
      <c r="K155" s="3">
        <f t="shared" ca="1" si="27"/>
        <v>425</v>
      </c>
      <c r="L155" s="3">
        <f t="shared" ca="1" si="28"/>
        <v>58</v>
      </c>
      <c r="M155" s="4"/>
      <c r="N155" s="5">
        <f t="shared" si="29"/>
        <v>1</v>
      </c>
      <c r="O155" s="1">
        <f t="shared" ca="1" si="30"/>
        <v>0</v>
      </c>
      <c r="P155" s="1">
        <f t="shared" ca="1" si="30"/>
        <v>1</v>
      </c>
      <c r="Q155" s="1">
        <f t="shared" ca="1" si="30"/>
        <v>1</v>
      </c>
    </row>
    <row r="156" spans="1:17" x14ac:dyDescent="0.3">
      <c r="A156" s="1" t="s">
        <v>193</v>
      </c>
      <c r="B156" s="1" t="s">
        <v>240</v>
      </c>
      <c r="C156" s="1" t="s">
        <v>17</v>
      </c>
      <c r="D156" s="3">
        <f t="shared" ca="1" si="21"/>
        <v>75564851</v>
      </c>
      <c r="E156" s="3">
        <f t="shared" ca="1" si="22"/>
        <v>3524536</v>
      </c>
      <c r="F156" s="3">
        <f t="shared" ca="1" si="23"/>
        <v>326</v>
      </c>
      <c r="G156" s="3">
        <f t="shared" ca="1" si="24"/>
        <v>974314</v>
      </c>
      <c r="H156" s="3">
        <f t="shared" ca="1" si="25"/>
        <v>214</v>
      </c>
      <c r="I156" s="1" t="s">
        <v>18</v>
      </c>
      <c r="J156" s="3">
        <f t="shared" ca="1" si="26"/>
        <v>388077</v>
      </c>
      <c r="K156" s="3">
        <f t="shared" ca="1" si="27"/>
        <v>92</v>
      </c>
      <c r="L156" s="3">
        <f t="shared" ca="1" si="28"/>
        <v>25</v>
      </c>
      <c r="M156" s="4"/>
      <c r="N156" s="5">
        <f t="shared" si="29"/>
        <v>1</v>
      </c>
      <c r="O156" s="1">
        <f t="shared" ca="1" si="30"/>
        <v>1</v>
      </c>
      <c r="P156" s="1">
        <f t="shared" ca="1" si="30"/>
        <v>1</v>
      </c>
      <c r="Q156" s="1">
        <f t="shared" ca="1" si="30"/>
        <v>1</v>
      </c>
    </row>
    <row r="157" spans="1:17" x14ac:dyDescent="0.3">
      <c r="A157" s="1" t="s">
        <v>194</v>
      </c>
      <c r="B157" s="1" t="s">
        <v>240</v>
      </c>
      <c r="C157" s="1" t="s">
        <v>20</v>
      </c>
      <c r="D157" s="3">
        <f t="shared" ca="1" si="21"/>
        <v>36656311</v>
      </c>
      <c r="E157" s="3">
        <f t="shared" ca="1" si="22"/>
        <v>6886144</v>
      </c>
      <c r="F157" s="3">
        <f t="shared" ca="1" si="23"/>
        <v>243</v>
      </c>
      <c r="G157" s="3">
        <f t="shared" ca="1" si="24"/>
        <v>9679138</v>
      </c>
      <c r="H157" s="3">
        <f t="shared" ca="1" si="25"/>
        <v>5</v>
      </c>
      <c r="I157" s="1" t="s">
        <v>21</v>
      </c>
      <c r="J157" s="3">
        <f t="shared" ca="1" si="26"/>
        <v>74046</v>
      </c>
      <c r="K157" s="3">
        <f t="shared" ca="1" si="27"/>
        <v>71</v>
      </c>
      <c r="L157" s="3">
        <f t="shared" ca="1" si="28"/>
        <v>69</v>
      </c>
      <c r="M157" s="4"/>
      <c r="N157" s="5">
        <f t="shared" si="29"/>
        <v>1</v>
      </c>
      <c r="O157" s="1">
        <f t="shared" ca="1" si="30"/>
        <v>0</v>
      </c>
      <c r="P157" s="1">
        <f t="shared" ca="1" si="30"/>
        <v>0</v>
      </c>
      <c r="Q157" s="1">
        <f t="shared" ca="1" si="30"/>
        <v>0</v>
      </c>
    </row>
    <row r="158" spans="1:17" x14ac:dyDescent="0.3">
      <c r="A158" s="1" t="s">
        <v>195</v>
      </c>
      <c r="B158" s="1" t="s">
        <v>240</v>
      </c>
      <c r="C158" s="1" t="s">
        <v>23</v>
      </c>
      <c r="D158" s="3">
        <f t="shared" ca="1" si="21"/>
        <v>73062427</v>
      </c>
      <c r="E158" s="3">
        <f t="shared" ca="1" si="22"/>
        <v>5970111</v>
      </c>
      <c r="F158" s="3">
        <f t="shared" ca="1" si="23"/>
        <v>7</v>
      </c>
      <c r="G158" s="3">
        <f t="shared" ca="1" si="24"/>
        <v>4636229</v>
      </c>
      <c r="H158" s="3">
        <f t="shared" ca="1" si="25"/>
        <v>31</v>
      </c>
      <c r="I158" s="1" t="s">
        <v>21</v>
      </c>
      <c r="J158" s="3">
        <f t="shared" ca="1" si="26"/>
        <v>549464</v>
      </c>
      <c r="K158" s="3">
        <f t="shared" ca="1" si="27"/>
        <v>142</v>
      </c>
      <c r="L158" s="3">
        <f t="shared" ca="1" si="28"/>
        <v>113</v>
      </c>
      <c r="M158" s="4"/>
      <c r="N158" s="5">
        <f t="shared" si="29"/>
        <v>1</v>
      </c>
      <c r="O158" s="1">
        <f t="shared" ca="1" si="30"/>
        <v>1</v>
      </c>
      <c r="P158" s="1">
        <f t="shared" ca="1" si="30"/>
        <v>0</v>
      </c>
      <c r="Q158" s="1">
        <f t="shared" ca="1" si="30"/>
        <v>1</v>
      </c>
    </row>
    <row r="159" spans="1:17" x14ac:dyDescent="0.3">
      <c r="A159" s="1" t="s">
        <v>196</v>
      </c>
      <c r="B159" s="1" t="s">
        <v>240</v>
      </c>
      <c r="C159" s="1" t="s">
        <v>25</v>
      </c>
      <c r="D159" s="3">
        <f t="shared" ca="1" si="21"/>
        <v>75027981</v>
      </c>
      <c r="E159" s="3">
        <f t="shared" ca="1" si="22"/>
        <v>8632838</v>
      </c>
      <c r="F159" s="3">
        <f t="shared" ca="1" si="23"/>
        <v>496</v>
      </c>
      <c r="G159" s="3">
        <f t="shared" ca="1" si="24"/>
        <v>3813680</v>
      </c>
      <c r="H159" s="3">
        <f t="shared" ca="1" si="25"/>
        <v>397</v>
      </c>
      <c r="I159" s="1" t="s">
        <v>18</v>
      </c>
      <c r="J159" s="3">
        <f t="shared" ca="1" si="26"/>
        <v>124807</v>
      </c>
      <c r="K159" s="3">
        <f t="shared" ca="1" si="27"/>
        <v>500</v>
      </c>
      <c r="L159" s="3">
        <f t="shared" ca="1" si="28"/>
        <v>43</v>
      </c>
      <c r="M159" s="4"/>
      <c r="N159" s="5">
        <f t="shared" si="29"/>
        <v>1</v>
      </c>
      <c r="O159" s="1">
        <f t="shared" ca="1" si="30"/>
        <v>1</v>
      </c>
      <c r="P159" s="1">
        <f t="shared" ca="1" si="30"/>
        <v>1</v>
      </c>
      <c r="Q159" s="1">
        <f t="shared" ca="1" si="30"/>
        <v>1</v>
      </c>
    </row>
    <row r="160" spans="1:17" x14ac:dyDescent="0.3">
      <c r="A160" s="1" t="s">
        <v>197</v>
      </c>
      <c r="B160" s="1" t="s">
        <v>240</v>
      </c>
      <c r="C160" s="1" t="s">
        <v>27</v>
      </c>
      <c r="D160" s="3">
        <f t="shared" ca="1" si="21"/>
        <v>32499888</v>
      </c>
      <c r="E160" s="3">
        <f t="shared" ca="1" si="22"/>
        <v>1909364</v>
      </c>
      <c r="F160" s="3">
        <f t="shared" ca="1" si="23"/>
        <v>459</v>
      </c>
      <c r="G160" s="3">
        <f t="shared" ca="1" si="24"/>
        <v>2695680</v>
      </c>
      <c r="H160" s="3">
        <f t="shared" ca="1" si="25"/>
        <v>471</v>
      </c>
      <c r="I160" s="1" t="s">
        <v>28</v>
      </c>
      <c r="J160" s="3">
        <f t="shared" ca="1" si="26"/>
        <v>377617</v>
      </c>
      <c r="K160" s="3">
        <f t="shared" ca="1" si="27"/>
        <v>227</v>
      </c>
      <c r="L160" s="3">
        <f t="shared" ca="1" si="28"/>
        <v>64</v>
      </c>
      <c r="M160" s="4"/>
      <c r="N160" s="5">
        <f t="shared" si="29"/>
        <v>1</v>
      </c>
      <c r="O160" s="1">
        <f t="shared" ca="1" si="30"/>
        <v>1</v>
      </c>
      <c r="P160" s="1">
        <f t="shared" ca="1" si="30"/>
        <v>0</v>
      </c>
      <c r="Q160" s="1">
        <f t="shared" ca="1" si="30"/>
        <v>1</v>
      </c>
    </row>
    <row r="161" spans="1:17" x14ac:dyDescent="0.3">
      <c r="A161" s="1" t="s">
        <v>198</v>
      </c>
      <c r="B161" s="1" t="s">
        <v>240</v>
      </c>
      <c r="C161" s="1" t="s">
        <v>30</v>
      </c>
      <c r="D161" s="3">
        <f t="shared" ca="1" si="21"/>
        <v>18552871</v>
      </c>
      <c r="E161" s="3">
        <f t="shared" ca="1" si="22"/>
        <v>2242297</v>
      </c>
      <c r="F161" s="3">
        <f t="shared" ca="1" si="23"/>
        <v>298</v>
      </c>
      <c r="G161" s="3">
        <f t="shared" ca="1" si="24"/>
        <v>3958670</v>
      </c>
      <c r="H161" s="3">
        <f t="shared" ca="1" si="25"/>
        <v>324</v>
      </c>
      <c r="I161" s="1" t="s">
        <v>28</v>
      </c>
      <c r="J161" s="3">
        <f t="shared" ca="1" si="26"/>
        <v>270252</v>
      </c>
      <c r="K161" s="3">
        <f t="shared" ca="1" si="27"/>
        <v>12</v>
      </c>
      <c r="L161" s="3">
        <f t="shared" ca="1" si="28"/>
        <v>119</v>
      </c>
      <c r="M161" s="4"/>
      <c r="N161" s="5">
        <f t="shared" si="29"/>
        <v>1</v>
      </c>
      <c r="O161" s="1">
        <f t="shared" ca="1" si="30"/>
        <v>0</v>
      </c>
      <c r="P161" s="1">
        <f t="shared" ca="1" si="30"/>
        <v>0</v>
      </c>
      <c r="Q161" s="1">
        <f t="shared" ca="1" si="30"/>
        <v>0</v>
      </c>
    </row>
    <row r="162" spans="1:17" x14ac:dyDescent="0.3">
      <c r="A162" s="1" t="s">
        <v>199</v>
      </c>
      <c r="B162" s="1" t="s">
        <v>240</v>
      </c>
      <c r="C162" s="1" t="s">
        <v>32</v>
      </c>
      <c r="D162" s="3">
        <f t="shared" ca="1" si="21"/>
        <v>50665196</v>
      </c>
      <c r="E162" s="3">
        <f t="shared" ca="1" si="22"/>
        <v>8512567</v>
      </c>
      <c r="F162" s="3">
        <f t="shared" ca="1" si="23"/>
        <v>96</v>
      </c>
      <c r="G162" s="3">
        <f t="shared" ca="1" si="24"/>
        <v>3737507</v>
      </c>
      <c r="H162" s="3">
        <f t="shared" ca="1" si="25"/>
        <v>332</v>
      </c>
      <c r="I162" s="1" t="s">
        <v>33</v>
      </c>
      <c r="J162" s="3">
        <f t="shared" ca="1" si="26"/>
        <v>402120</v>
      </c>
      <c r="K162" s="3">
        <f t="shared" ca="1" si="27"/>
        <v>126</v>
      </c>
      <c r="L162" s="3">
        <f t="shared" ca="1" si="28"/>
        <v>39</v>
      </c>
      <c r="M162" s="4"/>
      <c r="N162" s="5">
        <f t="shared" si="29"/>
        <v>1</v>
      </c>
      <c r="O162" s="1">
        <f t="shared" ca="1" si="30"/>
        <v>1</v>
      </c>
      <c r="P162" s="1">
        <f t="shared" ca="1" si="30"/>
        <v>1</v>
      </c>
      <c r="Q162" s="1">
        <f t="shared" ca="1" si="30"/>
        <v>1</v>
      </c>
    </row>
    <row r="163" spans="1:17" x14ac:dyDescent="0.3">
      <c r="A163" s="1" t="s">
        <v>200</v>
      </c>
      <c r="B163" s="1" t="s">
        <v>240</v>
      </c>
      <c r="C163" s="1" t="s">
        <v>35</v>
      </c>
      <c r="D163" s="3">
        <f t="shared" ca="1" si="21"/>
        <v>78241267</v>
      </c>
      <c r="E163" s="3">
        <f t="shared" ca="1" si="22"/>
        <v>6042944</v>
      </c>
      <c r="F163" s="3">
        <f t="shared" ca="1" si="23"/>
        <v>457</v>
      </c>
      <c r="G163" s="3">
        <f t="shared" ca="1" si="24"/>
        <v>6481746</v>
      </c>
      <c r="H163" s="3">
        <f t="shared" ca="1" si="25"/>
        <v>389</v>
      </c>
      <c r="I163" s="1" t="s">
        <v>33</v>
      </c>
      <c r="J163" s="3">
        <f t="shared" ca="1" si="26"/>
        <v>84180</v>
      </c>
      <c r="K163" s="3">
        <f t="shared" ca="1" si="27"/>
        <v>209</v>
      </c>
      <c r="L163" s="3">
        <f t="shared" ca="1" si="28"/>
        <v>38</v>
      </c>
      <c r="M163" s="4"/>
      <c r="N163" s="5">
        <f t="shared" si="29"/>
        <v>1</v>
      </c>
      <c r="O163" s="1">
        <f t="shared" ca="1" si="30"/>
        <v>1</v>
      </c>
      <c r="P163" s="1">
        <f t="shared" ca="1" si="30"/>
        <v>1</v>
      </c>
      <c r="Q163" s="1">
        <f t="shared" ca="1" si="30"/>
        <v>1</v>
      </c>
    </row>
    <row r="164" spans="1:17" x14ac:dyDescent="0.3">
      <c r="A164" s="1" t="s">
        <v>201</v>
      </c>
      <c r="B164" s="1" t="s">
        <v>240</v>
      </c>
      <c r="C164" s="1" t="s">
        <v>37</v>
      </c>
      <c r="D164" s="3">
        <f t="shared" ca="1" si="21"/>
        <v>38331290</v>
      </c>
      <c r="E164" s="3">
        <f t="shared" ca="1" si="22"/>
        <v>3421869</v>
      </c>
      <c r="F164" s="3">
        <f t="shared" ca="1" si="23"/>
        <v>400</v>
      </c>
      <c r="G164" s="3">
        <f t="shared" ca="1" si="24"/>
        <v>7609807</v>
      </c>
      <c r="H164" s="3">
        <f t="shared" ca="1" si="25"/>
        <v>346</v>
      </c>
      <c r="I164" s="1" t="s">
        <v>38</v>
      </c>
      <c r="J164" s="3">
        <f t="shared" ca="1" si="26"/>
        <v>480259</v>
      </c>
      <c r="K164" s="3">
        <f t="shared" ca="1" si="27"/>
        <v>252</v>
      </c>
      <c r="L164" s="3">
        <f t="shared" ca="1" si="28"/>
        <v>4</v>
      </c>
      <c r="M164" s="4"/>
      <c r="N164" s="5">
        <f t="shared" si="29"/>
        <v>1</v>
      </c>
      <c r="O164" s="1">
        <f t="shared" ca="1" si="30"/>
        <v>0</v>
      </c>
      <c r="P164" s="1">
        <f t="shared" ca="1" si="30"/>
        <v>1</v>
      </c>
      <c r="Q164" s="1">
        <f t="shared" ca="1" si="30"/>
        <v>0</v>
      </c>
    </row>
    <row r="165" spans="1:17" x14ac:dyDescent="0.3">
      <c r="A165" s="1" t="s">
        <v>202</v>
      </c>
      <c r="B165" s="1" t="s">
        <v>240</v>
      </c>
      <c r="C165" s="1" t="s">
        <v>40</v>
      </c>
      <c r="D165" s="3">
        <f t="shared" ca="1" si="21"/>
        <v>82762792</v>
      </c>
      <c r="E165" s="3">
        <f t="shared" ca="1" si="22"/>
        <v>2820342</v>
      </c>
      <c r="F165" s="3">
        <f t="shared" ca="1" si="23"/>
        <v>295</v>
      </c>
      <c r="G165" s="3">
        <f t="shared" ca="1" si="24"/>
        <v>6196685</v>
      </c>
      <c r="H165" s="3">
        <f t="shared" ca="1" si="25"/>
        <v>30</v>
      </c>
      <c r="I165" s="1" t="s">
        <v>41</v>
      </c>
      <c r="J165" s="3">
        <f t="shared" ca="1" si="26"/>
        <v>201947</v>
      </c>
      <c r="K165" s="3">
        <f t="shared" ca="1" si="27"/>
        <v>359</v>
      </c>
      <c r="L165" s="3">
        <f t="shared" ca="1" si="28"/>
        <v>22</v>
      </c>
      <c r="M165" s="4"/>
      <c r="N165" s="5">
        <f t="shared" si="29"/>
        <v>1</v>
      </c>
      <c r="O165" s="1">
        <f t="shared" ca="1" si="30"/>
        <v>1</v>
      </c>
      <c r="P165" s="1">
        <f t="shared" ca="1" si="30"/>
        <v>0</v>
      </c>
      <c r="Q165" s="1">
        <f t="shared" ca="1" si="30"/>
        <v>1</v>
      </c>
    </row>
    <row r="166" spans="1:17" x14ac:dyDescent="0.3">
      <c r="A166" s="1" t="s">
        <v>203</v>
      </c>
      <c r="B166" s="1" t="s">
        <v>240</v>
      </c>
      <c r="C166" s="1" t="s">
        <v>43</v>
      </c>
      <c r="D166" s="3">
        <f t="shared" ca="1" si="21"/>
        <v>66511587</v>
      </c>
      <c r="E166" s="3">
        <f t="shared" ca="1" si="22"/>
        <v>7694360</v>
      </c>
      <c r="F166" s="3">
        <f t="shared" ca="1" si="23"/>
        <v>177</v>
      </c>
      <c r="G166" s="3">
        <f t="shared" ca="1" si="24"/>
        <v>6477719</v>
      </c>
      <c r="H166" s="3">
        <f t="shared" ca="1" si="25"/>
        <v>246</v>
      </c>
      <c r="I166" s="1" t="s">
        <v>38</v>
      </c>
      <c r="J166" s="3">
        <f t="shared" ca="1" si="26"/>
        <v>484543</v>
      </c>
      <c r="K166" s="3">
        <f t="shared" ca="1" si="27"/>
        <v>337</v>
      </c>
      <c r="L166" s="3">
        <f t="shared" ca="1" si="28"/>
        <v>118</v>
      </c>
      <c r="M166" s="4"/>
      <c r="N166" s="5">
        <f t="shared" si="29"/>
        <v>1</v>
      </c>
      <c r="O166" s="1">
        <f t="shared" ca="1" si="30"/>
        <v>0</v>
      </c>
      <c r="P166" s="1">
        <f t="shared" ca="1" si="30"/>
        <v>0</v>
      </c>
      <c r="Q166" s="1">
        <f t="shared" ca="1" si="30"/>
        <v>0</v>
      </c>
    </row>
    <row r="167" spans="1:17" x14ac:dyDescent="0.3">
      <c r="A167" s="1" t="s">
        <v>204</v>
      </c>
      <c r="B167" s="1" t="s">
        <v>240</v>
      </c>
      <c r="C167" s="1" t="s">
        <v>45</v>
      </c>
      <c r="D167" s="3">
        <f t="shared" ca="1" si="21"/>
        <v>84487905</v>
      </c>
      <c r="E167" s="3">
        <f t="shared" ca="1" si="22"/>
        <v>8395304</v>
      </c>
      <c r="F167" s="3">
        <f t="shared" ca="1" si="23"/>
        <v>197</v>
      </c>
      <c r="G167" s="3">
        <f t="shared" ca="1" si="24"/>
        <v>1120744</v>
      </c>
      <c r="H167" s="3">
        <f t="shared" ca="1" si="25"/>
        <v>333</v>
      </c>
      <c r="I167" s="1" t="s">
        <v>41</v>
      </c>
      <c r="J167" s="3">
        <f t="shared" ca="1" si="26"/>
        <v>90131</v>
      </c>
      <c r="K167" s="3">
        <f t="shared" ca="1" si="27"/>
        <v>67</v>
      </c>
      <c r="L167" s="3">
        <f t="shared" ca="1" si="28"/>
        <v>88</v>
      </c>
      <c r="M167" s="4"/>
      <c r="N167" s="5">
        <f t="shared" si="29"/>
        <v>1</v>
      </c>
      <c r="O167" s="1">
        <f t="shared" ca="1" si="30"/>
        <v>0</v>
      </c>
      <c r="P167" s="1">
        <f t="shared" ca="1" si="30"/>
        <v>1</v>
      </c>
      <c r="Q167" s="1">
        <f t="shared" ca="1" si="30"/>
        <v>1</v>
      </c>
    </row>
    <row r="168" spans="1:17" x14ac:dyDescent="0.3">
      <c r="A168" s="1" t="s">
        <v>205</v>
      </c>
      <c r="B168" s="1" t="s">
        <v>240</v>
      </c>
      <c r="C168" s="1" t="s">
        <v>23</v>
      </c>
      <c r="D168" s="3">
        <f t="shared" ca="1" si="21"/>
        <v>91331084</v>
      </c>
      <c r="E168" s="3">
        <f t="shared" ca="1" si="22"/>
        <v>637063</v>
      </c>
      <c r="F168" s="3">
        <f t="shared" ca="1" si="23"/>
        <v>446</v>
      </c>
      <c r="G168" s="3">
        <f t="shared" ca="1" si="24"/>
        <v>5155691</v>
      </c>
      <c r="H168" s="3">
        <f t="shared" ca="1" si="25"/>
        <v>421</v>
      </c>
      <c r="I168" s="1" t="s">
        <v>47</v>
      </c>
      <c r="J168" s="3">
        <f t="shared" ca="1" si="26"/>
        <v>418252</v>
      </c>
      <c r="K168" s="3">
        <f t="shared" ca="1" si="27"/>
        <v>240</v>
      </c>
      <c r="L168" s="3">
        <f t="shared" ca="1" si="28"/>
        <v>110</v>
      </c>
      <c r="M168" s="4"/>
      <c r="N168" s="5">
        <f t="shared" si="29"/>
        <v>1</v>
      </c>
      <c r="O168" s="1">
        <f t="shared" ca="1" si="30"/>
        <v>0</v>
      </c>
      <c r="P168" s="1">
        <f t="shared" ca="1" si="30"/>
        <v>1</v>
      </c>
      <c r="Q168" s="1">
        <f t="shared" ca="1" si="30"/>
        <v>1</v>
      </c>
    </row>
    <row r="169" spans="1:17" x14ac:dyDescent="0.3">
      <c r="A169" s="1" t="s">
        <v>206</v>
      </c>
      <c r="B169" s="1" t="s">
        <v>240</v>
      </c>
      <c r="C169" s="1" t="s">
        <v>49</v>
      </c>
      <c r="D169" s="3">
        <f t="shared" ca="1" si="21"/>
        <v>79271177</v>
      </c>
      <c r="E169" s="3">
        <f t="shared" ca="1" si="22"/>
        <v>1906763</v>
      </c>
      <c r="F169" s="3">
        <f t="shared" ca="1" si="23"/>
        <v>66</v>
      </c>
      <c r="G169" s="3">
        <f t="shared" ca="1" si="24"/>
        <v>1573423</v>
      </c>
      <c r="H169" s="3">
        <f t="shared" ca="1" si="25"/>
        <v>343</v>
      </c>
      <c r="I169" s="1" t="s">
        <v>47</v>
      </c>
      <c r="J169" s="3">
        <f t="shared" ca="1" si="26"/>
        <v>383556</v>
      </c>
      <c r="K169" s="3">
        <f t="shared" ca="1" si="27"/>
        <v>306</v>
      </c>
      <c r="L169" s="3">
        <f t="shared" ca="1" si="28"/>
        <v>6</v>
      </c>
      <c r="M169" s="4"/>
      <c r="N169" s="5">
        <f t="shared" si="29"/>
        <v>1</v>
      </c>
      <c r="O169" s="1">
        <f t="shared" ca="1" si="30"/>
        <v>0</v>
      </c>
      <c r="P169" s="1">
        <f t="shared" ca="1" si="30"/>
        <v>1</v>
      </c>
      <c r="Q169" s="1">
        <f t="shared" ca="1" si="30"/>
        <v>1</v>
      </c>
    </row>
    <row r="170" spans="1:17" x14ac:dyDescent="0.3">
      <c r="A170" s="1" t="s">
        <v>207</v>
      </c>
      <c r="B170" s="1" t="s">
        <v>240</v>
      </c>
      <c r="C170" s="1" t="s">
        <v>49</v>
      </c>
      <c r="D170" s="3">
        <f t="shared" ca="1" si="21"/>
        <v>91574776</v>
      </c>
      <c r="E170" s="3">
        <f t="shared" ca="1" si="22"/>
        <v>4498691</v>
      </c>
      <c r="F170" s="3">
        <f t="shared" ca="1" si="23"/>
        <v>5</v>
      </c>
      <c r="G170" s="3">
        <f t="shared" ca="1" si="24"/>
        <v>4308448</v>
      </c>
      <c r="H170" s="3">
        <f t="shared" ca="1" si="25"/>
        <v>331</v>
      </c>
      <c r="I170" s="1" t="s">
        <v>18</v>
      </c>
      <c r="J170" s="3">
        <f t="shared" ca="1" si="26"/>
        <v>192867</v>
      </c>
      <c r="K170" s="3">
        <f t="shared" ca="1" si="27"/>
        <v>83</v>
      </c>
      <c r="L170" s="3">
        <f t="shared" ca="1" si="28"/>
        <v>67</v>
      </c>
      <c r="M170" s="4"/>
      <c r="N170" s="5">
        <f t="shared" si="29"/>
        <v>1</v>
      </c>
      <c r="O170" s="1">
        <f t="shared" ca="1" si="30"/>
        <v>1</v>
      </c>
      <c r="P170" s="1">
        <f t="shared" ca="1" si="30"/>
        <v>1</v>
      </c>
      <c r="Q170" s="1">
        <f t="shared" ca="1" si="30"/>
        <v>0</v>
      </c>
    </row>
    <row r="171" spans="1:17" x14ac:dyDescent="0.3">
      <c r="A171" s="1" t="s">
        <v>208</v>
      </c>
      <c r="B171" s="1" t="s">
        <v>240</v>
      </c>
      <c r="C171" s="1" t="s">
        <v>52</v>
      </c>
      <c r="D171" s="3">
        <f t="shared" ca="1" si="21"/>
        <v>79612919</v>
      </c>
      <c r="E171" s="3">
        <f t="shared" ca="1" si="22"/>
        <v>6964260</v>
      </c>
      <c r="F171" s="3">
        <f t="shared" ca="1" si="23"/>
        <v>46</v>
      </c>
      <c r="G171" s="3">
        <f t="shared" ca="1" si="24"/>
        <v>2290070</v>
      </c>
      <c r="H171" s="3">
        <f t="shared" ca="1" si="25"/>
        <v>337</v>
      </c>
      <c r="I171" s="1" t="s">
        <v>21</v>
      </c>
      <c r="J171" s="3">
        <f t="shared" ca="1" si="26"/>
        <v>168630</v>
      </c>
      <c r="K171" s="3">
        <f t="shared" ca="1" si="27"/>
        <v>292</v>
      </c>
      <c r="L171" s="3">
        <f t="shared" ca="1" si="28"/>
        <v>53</v>
      </c>
      <c r="M171" s="4"/>
      <c r="N171" s="5">
        <f t="shared" si="29"/>
        <v>1</v>
      </c>
      <c r="O171" s="1">
        <f t="shared" ca="1" si="30"/>
        <v>1</v>
      </c>
      <c r="P171" s="1">
        <f t="shared" ca="1" si="30"/>
        <v>0</v>
      </c>
      <c r="Q171" s="1">
        <f t="shared" ca="1" si="30"/>
        <v>0</v>
      </c>
    </row>
    <row r="172" spans="1:17" x14ac:dyDescent="0.3">
      <c r="A172" s="1" t="s">
        <v>209</v>
      </c>
      <c r="B172" s="1" t="s">
        <v>240</v>
      </c>
      <c r="C172" s="1" t="s">
        <v>54</v>
      </c>
      <c r="D172" s="3">
        <f t="shared" ca="1" si="21"/>
        <v>46397478</v>
      </c>
      <c r="E172" s="3">
        <f t="shared" ca="1" si="22"/>
        <v>4750874</v>
      </c>
      <c r="F172" s="3">
        <f t="shared" ca="1" si="23"/>
        <v>494</v>
      </c>
      <c r="G172" s="3">
        <f t="shared" ca="1" si="24"/>
        <v>3855735</v>
      </c>
      <c r="H172" s="3">
        <f t="shared" ca="1" si="25"/>
        <v>360</v>
      </c>
      <c r="I172" s="1" t="s">
        <v>21</v>
      </c>
      <c r="J172" s="3">
        <f t="shared" ca="1" si="26"/>
        <v>78405</v>
      </c>
      <c r="K172" s="3">
        <f t="shared" ca="1" si="27"/>
        <v>109</v>
      </c>
      <c r="L172" s="3">
        <f t="shared" ca="1" si="28"/>
        <v>28</v>
      </c>
      <c r="M172" s="4"/>
      <c r="N172" s="5">
        <f t="shared" si="29"/>
        <v>1</v>
      </c>
      <c r="O172" s="1">
        <f t="shared" ca="1" si="30"/>
        <v>0</v>
      </c>
      <c r="P172" s="1">
        <f t="shared" ca="1" si="30"/>
        <v>0</v>
      </c>
      <c r="Q172" s="1">
        <f t="shared" ca="1" si="30"/>
        <v>1</v>
      </c>
    </row>
    <row r="173" spans="1:17" x14ac:dyDescent="0.3">
      <c r="A173" s="1" t="s">
        <v>210</v>
      </c>
      <c r="B173" s="1" t="s">
        <v>240</v>
      </c>
      <c r="C173" s="1" t="s">
        <v>54</v>
      </c>
      <c r="D173" s="3">
        <f t="shared" ca="1" si="21"/>
        <v>98932352</v>
      </c>
      <c r="E173" s="3">
        <f t="shared" ca="1" si="22"/>
        <v>1607746</v>
      </c>
      <c r="F173" s="3">
        <f t="shared" ca="1" si="23"/>
        <v>409</v>
      </c>
      <c r="G173" s="3">
        <f t="shared" ca="1" si="24"/>
        <v>1834033</v>
      </c>
      <c r="H173" s="3">
        <f t="shared" ca="1" si="25"/>
        <v>138</v>
      </c>
      <c r="I173" s="1" t="s">
        <v>18</v>
      </c>
      <c r="J173" s="3">
        <f t="shared" ca="1" si="26"/>
        <v>108940</v>
      </c>
      <c r="K173" s="3">
        <f t="shared" ca="1" si="27"/>
        <v>1</v>
      </c>
      <c r="L173" s="3">
        <f t="shared" ca="1" si="28"/>
        <v>7</v>
      </c>
      <c r="M173" s="4"/>
      <c r="N173" s="5">
        <f t="shared" si="29"/>
        <v>1</v>
      </c>
      <c r="O173" s="1">
        <f t="shared" ca="1" si="30"/>
        <v>1</v>
      </c>
      <c r="P173" s="1">
        <f t="shared" ca="1" si="30"/>
        <v>1</v>
      </c>
      <c r="Q173" s="1">
        <f t="shared" ca="1" si="30"/>
        <v>0</v>
      </c>
    </row>
    <row r="174" spans="1:17" x14ac:dyDescent="0.3">
      <c r="A174" s="1" t="s">
        <v>211</v>
      </c>
      <c r="B174" s="1" t="s">
        <v>240</v>
      </c>
      <c r="C174" s="1" t="s">
        <v>20</v>
      </c>
      <c r="D174" s="3">
        <f t="shared" ca="1" si="21"/>
        <v>39874053</v>
      </c>
      <c r="E174" s="3">
        <f t="shared" ca="1" si="22"/>
        <v>8343008</v>
      </c>
      <c r="F174" s="3">
        <f t="shared" ca="1" si="23"/>
        <v>148</v>
      </c>
      <c r="G174" s="3">
        <f t="shared" ca="1" si="24"/>
        <v>3416160</v>
      </c>
      <c r="H174" s="3">
        <f t="shared" ca="1" si="25"/>
        <v>349</v>
      </c>
      <c r="I174" s="1" t="s">
        <v>28</v>
      </c>
      <c r="J174" s="3">
        <f t="shared" ca="1" si="26"/>
        <v>417528</v>
      </c>
      <c r="K174" s="3">
        <f t="shared" ca="1" si="27"/>
        <v>223</v>
      </c>
      <c r="L174" s="3">
        <f t="shared" ca="1" si="28"/>
        <v>121</v>
      </c>
      <c r="M174" s="4"/>
      <c r="N174" s="5">
        <f t="shared" si="29"/>
        <v>1</v>
      </c>
      <c r="O174" s="1">
        <f t="shared" ca="1" si="30"/>
        <v>1</v>
      </c>
      <c r="P174" s="1">
        <f t="shared" ca="1" si="30"/>
        <v>0</v>
      </c>
      <c r="Q174" s="1">
        <f t="shared" ca="1" si="30"/>
        <v>0</v>
      </c>
    </row>
    <row r="175" spans="1:17" x14ac:dyDescent="0.3">
      <c r="A175" s="1" t="s">
        <v>212</v>
      </c>
      <c r="B175" s="1" t="s">
        <v>240</v>
      </c>
      <c r="C175" s="1" t="s">
        <v>20</v>
      </c>
      <c r="D175" s="3">
        <f t="shared" ca="1" si="21"/>
        <v>99377175</v>
      </c>
      <c r="E175" s="3">
        <f t="shared" ca="1" si="22"/>
        <v>3015077</v>
      </c>
      <c r="F175" s="3">
        <f t="shared" ca="1" si="23"/>
        <v>401</v>
      </c>
      <c r="G175" s="3">
        <f t="shared" ca="1" si="24"/>
        <v>2878867</v>
      </c>
      <c r="H175" s="3">
        <f t="shared" ca="1" si="25"/>
        <v>382</v>
      </c>
      <c r="I175" s="1" t="s">
        <v>28</v>
      </c>
      <c r="J175" s="3">
        <f t="shared" ca="1" si="26"/>
        <v>150049</v>
      </c>
      <c r="K175" s="3">
        <f t="shared" ca="1" si="27"/>
        <v>502</v>
      </c>
      <c r="L175" s="3">
        <f t="shared" ca="1" si="28"/>
        <v>48</v>
      </c>
      <c r="M175" s="4"/>
      <c r="N175" s="5">
        <f t="shared" si="29"/>
        <v>1</v>
      </c>
      <c r="O175" s="1">
        <f t="shared" ca="1" si="30"/>
        <v>1</v>
      </c>
      <c r="P175" s="1">
        <f t="shared" ca="1" si="30"/>
        <v>1</v>
      </c>
      <c r="Q175" s="1">
        <f t="shared" ca="1" si="30"/>
        <v>1</v>
      </c>
    </row>
    <row r="176" spans="1:17" x14ac:dyDescent="0.3">
      <c r="A176" s="1" t="s">
        <v>213</v>
      </c>
      <c r="B176" s="1" t="s">
        <v>240</v>
      </c>
      <c r="C176" s="1" t="s">
        <v>20</v>
      </c>
      <c r="D176" s="3">
        <f t="shared" ca="1" si="21"/>
        <v>98020644</v>
      </c>
      <c r="E176" s="3">
        <f t="shared" ca="1" si="22"/>
        <v>794860</v>
      </c>
      <c r="F176" s="3">
        <f t="shared" ca="1" si="23"/>
        <v>451</v>
      </c>
      <c r="G176" s="3">
        <f t="shared" ca="1" si="24"/>
        <v>9797006</v>
      </c>
      <c r="H176" s="3">
        <f t="shared" ca="1" si="25"/>
        <v>185</v>
      </c>
      <c r="I176" s="1" t="s">
        <v>33</v>
      </c>
      <c r="J176" s="3">
        <f t="shared" ca="1" si="26"/>
        <v>534951</v>
      </c>
      <c r="K176" s="3">
        <f t="shared" ca="1" si="27"/>
        <v>100</v>
      </c>
      <c r="L176" s="3">
        <f t="shared" ca="1" si="28"/>
        <v>81</v>
      </c>
      <c r="M176" s="4"/>
      <c r="N176" s="5">
        <f t="shared" si="29"/>
        <v>1</v>
      </c>
      <c r="O176" s="1">
        <f t="shared" ca="1" si="30"/>
        <v>1</v>
      </c>
      <c r="P176" s="1">
        <f t="shared" ca="1" si="30"/>
        <v>1</v>
      </c>
      <c r="Q176" s="1">
        <f t="shared" ca="1" si="30"/>
        <v>1</v>
      </c>
    </row>
    <row r="177" spans="1:17" x14ac:dyDescent="0.3">
      <c r="A177" s="1" t="s">
        <v>214</v>
      </c>
      <c r="B177" s="1" t="s">
        <v>240</v>
      </c>
      <c r="C177" s="1" t="s">
        <v>60</v>
      </c>
      <c r="D177" s="3">
        <f t="shared" ca="1" si="21"/>
        <v>50105925</v>
      </c>
      <c r="E177" s="3">
        <f t="shared" ca="1" si="22"/>
        <v>4239496</v>
      </c>
      <c r="F177" s="3">
        <f t="shared" ca="1" si="23"/>
        <v>266</v>
      </c>
      <c r="G177" s="3">
        <f t="shared" ca="1" si="24"/>
        <v>9525610</v>
      </c>
      <c r="H177" s="3">
        <f t="shared" ca="1" si="25"/>
        <v>97</v>
      </c>
      <c r="I177" s="1" t="s">
        <v>33</v>
      </c>
      <c r="J177" s="3">
        <f t="shared" ca="1" si="26"/>
        <v>68867</v>
      </c>
      <c r="K177" s="3">
        <f t="shared" ca="1" si="27"/>
        <v>211</v>
      </c>
      <c r="L177" s="3">
        <f t="shared" ca="1" si="28"/>
        <v>55</v>
      </c>
      <c r="M177" s="4"/>
      <c r="N177" s="5">
        <f t="shared" si="29"/>
        <v>1</v>
      </c>
      <c r="O177" s="1">
        <f t="shared" ca="1" si="30"/>
        <v>0</v>
      </c>
      <c r="P177" s="1">
        <f t="shared" ca="1" si="30"/>
        <v>0</v>
      </c>
      <c r="Q177" s="1">
        <f t="shared" ca="1" si="30"/>
        <v>1</v>
      </c>
    </row>
    <row r="178" spans="1:17" x14ac:dyDescent="0.3">
      <c r="A178" s="1" t="s">
        <v>215</v>
      </c>
      <c r="B178" s="1" t="s">
        <v>240</v>
      </c>
      <c r="C178" s="1" t="s">
        <v>17</v>
      </c>
      <c r="D178" s="3">
        <f t="shared" ca="1" si="21"/>
        <v>12171014</v>
      </c>
      <c r="E178" s="3">
        <f t="shared" ca="1" si="22"/>
        <v>502033</v>
      </c>
      <c r="F178" s="3">
        <f t="shared" ca="1" si="23"/>
        <v>383</v>
      </c>
      <c r="G178" s="3">
        <f t="shared" ca="1" si="24"/>
        <v>2906392</v>
      </c>
      <c r="H178" s="3">
        <f t="shared" ca="1" si="25"/>
        <v>59</v>
      </c>
      <c r="I178" s="1" t="s">
        <v>38</v>
      </c>
      <c r="J178" s="3">
        <f t="shared" ca="1" si="26"/>
        <v>476807</v>
      </c>
      <c r="K178" s="3">
        <f t="shared" ca="1" si="27"/>
        <v>537</v>
      </c>
      <c r="L178" s="3">
        <f t="shared" ca="1" si="28"/>
        <v>4</v>
      </c>
      <c r="M178" s="4"/>
      <c r="N178" s="5">
        <f t="shared" si="29"/>
        <v>1</v>
      </c>
      <c r="O178" s="1">
        <f t="shared" ca="1" si="30"/>
        <v>0</v>
      </c>
      <c r="P178" s="1">
        <f t="shared" ca="1" si="30"/>
        <v>1</v>
      </c>
      <c r="Q178" s="1">
        <f t="shared" ca="1" si="30"/>
        <v>0</v>
      </c>
    </row>
    <row r="179" spans="1:17" x14ac:dyDescent="0.3">
      <c r="A179" s="1" t="s">
        <v>216</v>
      </c>
      <c r="B179" s="1" t="s">
        <v>240</v>
      </c>
      <c r="C179" s="1" t="s">
        <v>20</v>
      </c>
      <c r="D179" s="3">
        <f t="shared" ca="1" si="21"/>
        <v>36616933</v>
      </c>
      <c r="E179" s="3">
        <f t="shared" ca="1" si="22"/>
        <v>5909599</v>
      </c>
      <c r="F179" s="3">
        <f t="shared" ca="1" si="23"/>
        <v>425</v>
      </c>
      <c r="G179" s="3">
        <f t="shared" ca="1" si="24"/>
        <v>7398412</v>
      </c>
      <c r="H179" s="3">
        <f t="shared" ca="1" si="25"/>
        <v>124</v>
      </c>
      <c r="I179" s="1" t="s">
        <v>41</v>
      </c>
      <c r="J179" s="3">
        <f t="shared" ca="1" si="26"/>
        <v>483280</v>
      </c>
      <c r="K179" s="3">
        <f t="shared" ca="1" si="27"/>
        <v>321</v>
      </c>
      <c r="L179" s="3">
        <f t="shared" ca="1" si="28"/>
        <v>26</v>
      </c>
      <c r="M179" s="4"/>
      <c r="N179" s="5">
        <f t="shared" si="29"/>
        <v>1</v>
      </c>
      <c r="O179" s="1">
        <f t="shared" ca="1" si="30"/>
        <v>0</v>
      </c>
      <c r="P179" s="1">
        <f t="shared" ca="1" si="30"/>
        <v>0</v>
      </c>
      <c r="Q179" s="1">
        <f t="shared" ca="1" si="30"/>
        <v>1</v>
      </c>
    </row>
    <row r="180" spans="1:17" x14ac:dyDescent="0.3">
      <c r="A180" s="1" t="s">
        <v>217</v>
      </c>
      <c r="B180" s="1" t="s">
        <v>240</v>
      </c>
      <c r="C180" s="1" t="s">
        <v>23</v>
      </c>
      <c r="D180" s="3">
        <f t="shared" ca="1" si="21"/>
        <v>36231642</v>
      </c>
      <c r="E180" s="3">
        <f t="shared" ca="1" si="22"/>
        <v>1140937</v>
      </c>
      <c r="F180" s="3">
        <f t="shared" ca="1" si="23"/>
        <v>375</v>
      </c>
      <c r="G180" s="3">
        <f t="shared" ca="1" si="24"/>
        <v>4602638</v>
      </c>
      <c r="H180" s="3">
        <f t="shared" ca="1" si="25"/>
        <v>327</v>
      </c>
      <c r="I180" s="1" t="s">
        <v>38</v>
      </c>
      <c r="J180" s="3">
        <f t="shared" ca="1" si="26"/>
        <v>99654</v>
      </c>
      <c r="K180" s="3">
        <f t="shared" ca="1" si="27"/>
        <v>530</v>
      </c>
      <c r="L180" s="3">
        <f t="shared" ca="1" si="28"/>
        <v>29</v>
      </c>
      <c r="M180" s="4"/>
      <c r="N180" s="5">
        <f t="shared" si="29"/>
        <v>1</v>
      </c>
      <c r="O180" s="1">
        <f t="shared" ca="1" si="30"/>
        <v>1</v>
      </c>
      <c r="P180" s="1">
        <f t="shared" ca="1" si="30"/>
        <v>0</v>
      </c>
      <c r="Q180" s="1">
        <f t="shared" ca="1" si="30"/>
        <v>0</v>
      </c>
    </row>
    <row r="181" spans="1:17" x14ac:dyDescent="0.3">
      <c r="A181" s="1" t="s">
        <v>218</v>
      </c>
      <c r="B181" s="1" t="s">
        <v>240</v>
      </c>
      <c r="C181" s="1" t="s">
        <v>25</v>
      </c>
      <c r="D181" s="3">
        <f t="shared" ca="1" si="21"/>
        <v>68645479</v>
      </c>
      <c r="E181" s="3">
        <f t="shared" ca="1" si="22"/>
        <v>5275398</v>
      </c>
      <c r="F181" s="3">
        <f t="shared" ca="1" si="23"/>
        <v>366</v>
      </c>
      <c r="G181" s="3">
        <f t="shared" ca="1" si="24"/>
        <v>510769</v>
      </c>
      <c r="H181" s="3">
        <f t="shared" ca="1" si="25"/>
        <v>25</v>
      </c>
      <c r="I181" s="1" t="s">
        <v>41</v>
      </c>
      <c r="J181" s="3">
        <f t="shared" ca="1" si="26"/>
        <v>130016</v>
      </c>
      <c r="K181" s="3">
        <f t="shared" ca="1" si="27"/>
        <v>433</v>
      </c>
      <c r="L181" s="3">
        <f t="shared" ca="1" si="28"/>
        <v>21</v>
      </c>
      <c r="M181" s="4"/>
      <c r="N181" s="5">
        <f t="shared" si="29"/>
        <v>1</v>
      </c>
      <c r="O181" s="1">
        <f t="shared" ca="1" si="30"/>
        <v>1</v>
      </c>
      <c r="P181" s="1">
        <f t="shared" ca="1" si="30"/>
        <v>0</v>
      </c>
      <c r="Q181" s="1">
        <f t="shared" ca="1" si="30"/>
        <v>0</v>
      </c>
    </row>
    <row r="182" spans="1:17" x14ac:dyDescent="0.3">
      <c r="A182" s="1" t="s">
        <v>219</v>
      </c>
      <c r="B182" s="1" t="s">
        <v>240</v>
      </c>
      <c r="C182" s="1" t="s">
        <v>27</v>
      </c>
      <c r="D182" s="3">
        <f t="shared" ca="1" si="21"/>
        <v>11830260</v>
      </c>
      <c r="E182" s="3">
        <f t="shared" ca="1" si="22"/>
        <v>4527891</v>
      </c>
      <c r="F182" s="3">
        <f t="shared" ca="1" si="23"/>
        <v>444</v>
      </c>
      <c r="G182" s="3">
        <f t="shared" ca="1" si="24"/>
        <v>8466460</v>
      </c>
      <c r="H182" s="3">
        <f t="shared" ca="1" si="25"/>
        <v>379</v>
      </c>
      <c r="I182" s="1" t="s">
        <v>47</v>
      </c>
      <c r="J182" s="3">
        <f t="shared" ca="1" si="26"/>
        <v>198118</v>
      </c>
      <c r="K182" s="3">
        <f t="shared" ca="1" si="27"/>
        <v>381</v>
      </c>
      <c r="L182" s="3">
        <f t="shared" ca="1" si="28"/>
        <v>20</v>
      </c>
      <c r="M182" s="4"/>
      <c r="N182" s="5">
        <f t="shared" si="29"/>
        <v>1</v>
      </c>
      <c r="O182" s="1">
        <f t="shared" ca="1" si="30"/>
        <v>1</v>
      </c>
      <c r="P182" s="1">
        <f t="shared" ca="1" si="30"/>
        <v>0</v>
      </c>
      <c r="Q182" s="1">
        <f t="shared" ca="1" si="30"/>
        <v>0</v>
      </c>
    </row>
    <row r="183" spans="1:17" x14ac:dyDescent="0.3">
      <c r="A183" s="1" t="s">
        <v>220</v>
      </c>
      <c r="B183" s="1" t="s">
        <v>240</v>
      </c>
      <c r="C183" s="1" t="s">
        <v>30</v>
      </c>
      <c r="D183" s="3">
        <f t="shared" ca="1" si="21"/>
        <v>93560520</v>
      </c>
      <c r="E183" s="3">
        <f t="shared" ca="1" si="22"/>
        <v>8262550</v>
      </c>
      <c r="F183" s="3">
        <f t="shared" ca="1" si="23"/>
        <v>214</v>
      </c>
      <c r="G183" s="3">
        <f t="shared" ca="1" si="24"/>
        <v>7333599</v>
      </c>
      <c r="H183" s="3">
        <f t="shared" ca="1" si="25"/>
        <v>142</v>
      </c>
      <c r="I183" s="1" t="s">
        <v>47</v>
      </c>
      <c r="J183" s="3">
        <f t="shared" ca="1" si="26"/>
        <v>335582</v>
      </c>
      <c r="K183" s="3">
        <f t="shared" ca="1" si="27"/>
        <v>471</v>
      </c>
      <c r="L183" s="3">
        <f t="shared" ca="1" si="28"/>
        <v>80</v>
      </c>
      <c r="M183" s="4"/>
      <c r="N183" s="5">
        <f t="shared" si="29"/>
        <v>1</v>
      </c>
      <c r="O183" s="1">
        <f t="shared" ca="1" si="30"/>
        <v>0</v>
      </c>
      <c r="P183" s="1">
        <f t="shared" ca="1" si="30"/>
        <v>1</v>
      </c>
      <c r="Q183" s="1">
        <f t="shared" ca="1" si="30"/>
        <v>1</v>
      </c>
    </row>
    <row r="184" spans="1:17" x14ac:dyDescent="0.3">
      <c r="A184" s="1" t="s">
        <v>221</v>
      </c>
      <c r="B184" s="1" t="s">
        <v>240</v>
      </c>
      <c r="C184" s="1" t="s">
        <v>32</v>
      </c>
      <c r="D184" s="3">
        <f t="shared" ca="1" si="21"/>
        <v>72608262</v>
      </c>
      <c r="E184" s="3">
        <f t="shared" ca="1" si="22"/>
        <v>2891908</v>
      </c>
      <c r="F184" s="3">
        <f t="shared" ca="1" si="23"/>
        <v>398</v>
      </c>
      <c r="G184" s="3">
        <f t="shared" ca="1" si="24"/>
        <v>6782483</v>
      </c>
      <c r="H184" s="3">
        <f t="shared" ca="1" si="25"/>
        <v>388</v>
      </c>
      <c r="I184" s="1" t="s">
        <v>18</v>
      </c>
      <c r="J184" s="3">
        <f t="shared" ca="1" si="26"/>
        <v>532451</v>
      </c>
      <c r="K184" s="3">
        <f t="shared" ca="1" si="27"/>
        <v>391</v>
      </c>
      <c r="L184" s="3">
        <f t="shared" ca="1" si="28"/>
        <v>125</v>
      </c>
      <c r="M184" s="4"/>
      <c r="N184" s="5">
        <f t="shared" si="29"/>
        <v>1</v>
      </c>
      <c r="O184" s="1">
        <f t="shared" ca="1" si="30"/>
        <v>0</v>
      </c>
      <c r="P184" s="1">
        <f t="shared" ca="1" si="30"/>
        <v>1</v>
      </c>
      <c r="Q184" s="1">
        <f t="shared" ca="1" si="30"/>
        <v>0</v>
      </c>
    </row>
    <row r="185" spans="1:17" x14ac:dyDescent="0.3">
      <c r="A185" s="1" t="s">
        <v>222</v>
      </c>
      <c r="B185" s="1" t="s">
        <v>240</v>
      </c>
      <c r="C185" s="1" t="s">
        <v>35</v>
      </c>
      <c r="D185" s="3">
        <f t="shared" ca="1" si="21"/>
        <v>33288707</v>
      </c>
      <c r="E185" s="3">
        <f t="shared" ca="1" si="22"/>
        <v>5364820</v>
      </c>
      <c r="F185" s="3">
        <f t="shared" ca="1" si="23"/>
        <v>297</v>
      </c>
      <c r="G185" s="3">
        <f t="shared" ca="1" si="24"/>
        <v>2420488</v>
      </c>
      <c r="H185" s="3">
        <f t="shared" ca="1" si="25"/>
        <v>273</v>
      </c>
      <c r="I185" s="1" t="s">
        <v>21</v>
      </c>
      <c r="J185" s="3">
        <f t="shared" ca="1" si="26"/>
        <v>259869</v>
      </c>
      <c r="K185" s="3">
        <f t="shared" ca="1" si="27"/>
        <v>36</v>
      </c>
      <c r="L185" s="3">
        <f t="shared" ca="1" si="28"/>
        <v>19</v>
      </c>
      <c r="M185" s="4"/>
      <c r="N185" s="5">
        <f t="shared" si="29"/>
        <v>1</v>
      </c>
      <c r="O185" s="1">
        <f t="shared" ca="1" si="30"/>
        <v>1</v>
      </c>
      <c r="P185" s="1">
        <f t="shared" ca="1" si="30"/>
        <v>1</v>
      </c>
      <c r="Q185" s="1">
        <f t="shared" ca="1" si="30"/>
        <v>0</v>
      </c>
    </row>
    <row r="186" spans="1:17" x14ac:dyDescent="0.3">
      <c r="A186" s="1" t="s">
        <v>223</v>
      </c>
      <c r="B186" s="1" t="s">
        <v>240</v>
      </c>
      <c r="C186" s="1" t="s">
        <v>37</v>
      </c>
      <c r="D186" s="3">
        <f t="shared" ca="1" si="21"/>
        <v>10512293</v>
      </c>
      <c r="E186" s="3">
        <f t="shared" ca="1" si="22"/>
        <v>5405646</v>
      </c>
      <c r="F186" s="3">
        <f t="shared" ca="1" si="23"/>
        <v>174</v>
      </c>
      <c r="G186" s="3">
        <f t="shared" ca="1" si="24"/>
        <v>4572412</v>
      </c>
      <c r="H186" s="3">
        <f t="shared" ca="1" si="25"/>
        <v>406</v>
      </c>
      <c r="I186" s="1" t="s">
        <v>21</v>
      </c>
      <c r="J186" s="3">
        <f t="shared" ca="1" si="26"/>
        <v>492195</v>
      </c>
      <c r="K186" s="3">
        <f t="shared" ca="1" si="27"/>
        <v>36</v>
      </c>
      <c r="L186" s="3">
        <f t="shared" ca="1" si="28"/>
        <v>57</v>
      </c>
      <c r="M186" s="4"/>
      <c r="N186" s="5">
        <f t="shared" si="29"/>
        <v>1</v>
      </c>
      <c r="O186" s="1">
        <f t="shared" ca="1" si="30"/>
        <v>0</v>
      </c>
      <c r="P186" s="1">
        <f t="shared" ca="1" si="30"/>
        <v>0</v>
      </c>
      <c r="Q186" s="1">
        <f t="shared" ca="1" si="30"/>
        <v>1</v>
      </c>
    </row>
    <row r="187" spans="1:17" x14ac:dyDescent="0.3">
      <c r="A187" s="1" t="s">
        <v>224</v>
      </c>
      <c r="B187" s="1" t="s">
        <v>240</v>
      </c>
      <c r="C187" s="1" t="s">
        <v>40</v>
      </c>
      <c r="D187" s="3">
        <f t="shared" ca="1" si="21"/>
        <v>95248137</v>
      </c>
      <c r="E187" s="3">
        <f t="shared" ca="1" si="22"/>
        <v>8323832</v>
      </c>
      <c r="F187" s="3">
        <f t="shared" ca="1" si="23"/>
        <v>165</v>
      </c>
      <c r="G187" s="3">
        <f t="shared" ca="1" si="24"/>
        <v>4754477</v>
      </c>
      <c r="H187" s="3">
        <f t="shared" ca="1" si="25"/>
        <v>463</v>
      </c>
      <c r="I187" s="1" t="s">
        <v>18</v>
      </c>
      <c r="J187" s="3">
        <f t="shared" ca="1" si="26"/>
        <v>430004</v>
      </c>
      <c r="K187" s="3">
        <f t="shared" ca="1" si="27"/>
        <v>475</v>
      </c>
      <c r="L187" s="3">
        <f t="shared" ca="1" si="28"/>
        <v>25</v>
      </c>
      <c r="M187" s="4"/>
      <c r="N187" s="5">
        <f t="shared" si="29"/>
        <v>1</v>
      </c>
      <c r="O187" s="1">
        <f t="shared" ca="1" si="30"/>
        <v>1</v>
      </c>
      <c r="P187" s="1">
        <f t="shared" ca="1" si="30"/>
        <v>0</v>
      </c>
      <c r="Q187" s="1">
        <f t="shared" ca="1" si="30"/>
        <v>0</v>
      </c>
    </row>
    <row r="188" spans="1:17" x14ac:dyDescent="0.3">
      <c r="A188" s="1" t="s">
        <v>225</v>
      </c>
      <c r="B188" s="1" t="s">
        <v>240</v>
      </c>
      <c r="C188" s="1" t="s">
        <v>43</v>
      </c>
      <c r="D188" s="3">
        <f t="shared" ca="1" si="21"/>
        <v>83933757</v>
      </c>
      <c r="E188" s="3">
        <f t="shared" ca="1" si="22"/>
        <v>5999662</v>
      </c>
      <c r="F188" s="3">
        <f t="shared" ca="1" si="23"/>
        <v>145</v>
      </c>
      <c r="G188" s="3">
        <f t="shared" ca="1" si="24"/>
        <v>2452472</v>
      </c>
      <c r="H188" s="3">
        <f t="shared" ca="1" si="25"/>
        <v>96</v>
      </c>
      <c r="I188" s="1" t="s">
        <v>28</v>
      </c>
      <c r="J188" s="3">
        <f t="shared" ca="1" si="26"/>
        <v>288923</v>
      </c>
      <c r="K188" s="3">
        <f t="shared" ca="1" si="27"/>
        <v>277</v>
      </c>
      <c r="L188" s="3">
        <f t="shared" ca="1" si="28"/>
        <v>13</v>
      </c>
      <c r="M188" s="4"/>
      <c r="N188" s="5">
        <f t="shared" si="29"/>
        <v>1</v>
      </c>
      <c r="O188" s="1">
        <f t="shared" ca="1" si="30"/>
        <v>0</v>
      </c>
      <c r="P188" s="1">
        <f t="shared" ca="1" si="30"/>
        <v>0</v>
      </c>
      <c r="Q188" s="1">
        <f t="shared" ca="1" si="30"/>
        <v>1</v>
      </c>
    </row>
    <row r="189" spans="1:17" x14ac:dyDescent="0.3">
      <c r="A189" s="1" t="s">
        <v>226</v>
      </c>
      <c r="B189" s="1" t="s">
        <v>240</v>
      </c>
      <c r="C189" s="1" t="s">
        <v>45</v>
      </c>
      <c r="D189" s="3">
        <f t="shared" ca="1" si="21"/>
        <v>96703732</v>
      </c>
      <c r="E189" s="3">
        <f t="shared" ca="1" si="22"/>
        <v>4168004</v>
      </c>
      <c r="F189" s="3">
        <f t="shared" ca="1" si="23"/>
        <v>36</v>
      </c>
      <c r="G189" s="3">
        <f t="shared" ca="1" si="24"/>
        <v>8403256</v>
      </c>
      <c r="H189" s="3">
        <f t="shared" ca="1" si="25"/>
        <v>166</v>
      </c>
      <c r="I189" s="1" t="s">
        <v>28</v>
      </c>
      <c r="J189" s="3">
        <f t="shared" ca="1" si="26"/>
        <v>356762</v>
      </c>
      <c r="K189" s="3">
        <f t="shared" ca="1" si="27"/>
        <v>313</v>
      </c>
      <c r="L189" s="3">
        <f t="shared" ca="1" si="28"/>
        <v>56</v>
      </c>
      <c r="M189" s="4"/>
      <c r="N189" s="5">
        <f t="shared" si="29"/>
        <v>1</v>
      </c>
      <c r="O189" s="1">
        <f t="shared" ca="1" si="30"/>
        <v>0</v>
      </c>
      <c r="P189" s="1">
        <f t="shared" ca="1" si="30"/>
        <v>1</v>
      </c>
      <c r="Q189" s="1">
        <f t="shared" ca="1" si="30"/>
        <v>0</v>
      </c>
    </row>
    <row r="190" spans="1:17" x14ac:dyDescent="0.3">
      <c r="A190" s="1" t="s">
        <v>227</v>
      </c>
      <c r="B190" s="1" t="s">
        <v>240</v>
      </c>
      <c r="C190" s="1" t="s">
        <v>23</v>
      </c>
      <c r="D190" s="3">
        <f t="shared" ca="1" si="21"/>
        <v>33703001</v>
      </c>
      <c r="E190" s="3">
        <f t="shared" ca="1" si="22"/>
        <v>1332493</v>
      </c>
      <c r="F190" s="3">
        <f t="shared" ca="1" si="23"/>
        <v>373</v>
      </c>
      <c r="G190" s="3">
        <f t="shared" ca="1" si="24"/>
        <v>6199212</v>
      </c>
      <c r="H190" s="3">
        <f t="shared" ca="1" si="25"/>
        <v>460</v>
      </c>
      <c r="I190" s="1" t="s">
        <v>33</v>
      </c>
      <c r="J190" s="3">
        <f t="shared" ca="1" si="26"/>
        <v>590077</v>
      </c>
      <c r="K190" s="3">
        <f t="shared" ca="1" si="27"/>
        <v>473</v>
      </c>
      <c r="L190" s="3">
        <f t="shared" ca="1" si="28"/>
        <v>122</v>
      </c>
      <c r="M190" s="4"/>
      <c r="N190" s="5">
        <f t="shared" si="29"/>
        <v>1</v>
      </c>
      <c r="O190" s="1">
        <f t="shared" ca="1" si="30"/>
        <v>1</v>
      </c>
      <c r="P190" s="1">
        <f t="shared" ca="1" si="30"/>
        <v>1</v>
      </c>
      <c r="Q190" s="1">
        <f t="shared" ca="1" si="30"/>
        <v>0</v>
      </c>
    </row>
    <row r="191" spans="1:17" x14ac:dyDescent="0.3">
      <c r="A191" s="1" t="s">
        <v>228</v>
      </c>
      <c r="B191" s="1" t="s">
        <v>240</v>
      </c>
      <c r="C191" s="1" t="s">
        <v>49</v>
      </c>
      <c r="D191" s="3">
        <f t="shared" ca="1" si="21"/>
        <v>23739683</v>
      </c>
      <c r="E191" s="3">
        <f t="shared" ca="1" si="22"/>
        <v>1958949</v>
      </c>
      <c r="F191" s="3">
        <f t="shared" ca="1" si="23"/>
        <v>370</v>
      </c>
      <c r="G191" s="3">
        <f t="shared" ca="1" si="24"/>
        <v>7050294</v>
      </c>
      <c r="H191" s="3">
        <f t="shared" ca="1" si="25"/>
        <v>21</v>
      </c>
      <c r="I191" s="1" t="s">
        <v>33</v>
      </c>
      <c r="J191" s="3">
        <f t="shared" ca="1" si="26"/>
        <v>506444</v>
      </c>
      <c r="K191" s="3">
        <f t="shared" ca="1" si="27"/>
        <v>11</v>
      </c>
      <c r="L191" s="3">
        <f t="shared" ca="1" si="28"/>
        <v>49</v>
      </c>
      <c r="M191" s="4"/>
      <c r="N191" s="5">
        <f t="shared" si="29"/>
        <v>1</v>
      </c>
      <c r="O191" s="1">
        <f t="shared" ca="1" si="30"/>
        <v>0</v>
      </c>
      <c r="P191" s="1">
        <f t="shared" ca="1" si="30"/>
        <v>0</v>
      </c>
      <c r="Q191" s="1">
        <f t="shared" ca="1" si="30"/>
        <v>0</v>
      </c>
    </row>
    <row r="192" spans="1:17" x14ac:dyDescent="0.3">
      <c r="A192" s="1" t="s">
        <v>229</v>
      </c>
      <c r="B192" s="1" t="s">
        <v>240</v>
      </c>
      <c r="C192" s="1" t="s">
        <v>49</v>
      </c>
      <c r="D192" s="3">
        <f t="shared" ca="1" si="21"/>
        <v>22173261</v>
      </c>
      <c r="E192" s="3">
        <f t="shared" ca="1" si="22"/>
        <v>5987065</v>
      </c>
      <c r="F192" s="3">
        <f t="shared" ca="1" si="23"/>
        <v>176</v>
      </c>
      <c r="G192" s="3">
        <f t="shared" ca="1" si="24"/>
        <v>206993</v>
      </c>
      <c r="H192" s="3">
        <f t="shared" ca="1" si="25"/>
        <v>363</v>
      </c>
      <c r="I192" s="1" t="s">
        <v>38</v>
      </c>
      <c r="J192" s="3">
        <f t="shared" ca="1" si="26"/>
        <v>83501</v>
      </c>
      <c r="K192" s="3">
        <f t="shared" ca="1" si="27"/>
        <v>6</v>
      </c>
      <c r="L192" s="3">
        <f t="shared" ca="1" si="28"/>
        <v>75</v>
      </c>
      <c r="M192" s="4"/>
      <c r="N192" s="5">
        <f t="shared" si="29"/>
        <v>1</v>
      </c>
      <c r="O192" s="1">
        <f t="shared" ca="1" si="30"/>
        <v>0</v>
      </c>
      <c r="P192" s="1">
        <f t="shared" ca="1" si="30"/>
        <v>1</v>
      </c>
      <c r="Q192" s="1">
        <f t="shared" ca="1" si="30"/>
        <v>1</v>
      </c>
    </row>
    <row r="193" spans="1:17" x14ac:dyDescent="0.3">
      <c r="A193" s="1" t="s">
        <v>230</v>
      </c>
      <c r="B193" s="1" t="s">
        <v>240</v>
      </c>
      <c r="C193" s="1" t="s">
        <v>52</v>
      </c>
      <c r="D193" s="3">
        <f t="shared" ca="1" si="21"/>
        <v>22558597</v>
      </c>
      <c r="E193" s="3">
        <f t="shared" ca="1" si="22"/>
        <v>963425</v>
      </c>
      <c r="F193" s="3">
        <f t="shared" ca="1" si="23"/>
        <v>497</v>
      </c>
      <c r="G193" s="3">
        <f t="shared" ca="1" si="24"/>
        <v>3850576</v>
      </c>
      <c r="H193" s="3">
        <f t="shared" ca="1" si="25"/>
        <v>80</v>
      </c>
      <c r="I193" s="1" t="s">
        <v>41</v>
      </c>
      <c r="J193" s="3">
        <f t="shared" ca="1" si="26"/>
        <v>404407</v>
      </c>
      <c r="K193" s="3">
        <f t="shared" ca="1" si="27"/>
        <v>433</v>
      </c>
      <c r="L193" s="3">
        <f t="shared" ca="1" si="28"/>
        <v>60</v>
      </c>
      <c r="M193" s="4"/>
      <c r="N193" s="5">
        <f t="shared" si="29"/>
        <v>1</v>
      </c>
      <c r="O193" s="1">
        <f t="shared" ca="1" si="30"/>
        <v>0</v>
      </c>
      <c r="P193" s="1">
        <f t="shared" ca="1" si="30"/>
        <v>0</v>
      </c>
      <c r="Q193" s="1">
        <f t="shared" ca="1" si="30"/>
        <v>1</v>
      </c>
    </row>
    <row r="194" spans="1:17" x14ac:dyDescent="0.3">
      <c r="A194" s="1" t="s">
        <v>231</v>
      </c>
      <c r="B194" s="1" t="s">
        <v>240</v>
      </c>
      <c r="C194" s="1" t="s">
        <v>54</v>
      </c>
      <c r="D194" s="3">
        <f t="shared" ca="1" si="21"/>
        <v>50811125</v>
      </c>
      <c r="E194" s="3">
        <f t="shared" ca="1" si="22"/>
        <v>4691465</v>
      </c>
      <c r="F194" s="3">
        <f t="shared" ca="1" si="23"/>
        <v>490</v>
      </c>
      <c r="G194" s="3">
        <f t="shared" ca="1" si="24"/>
        <v>9711627</v>
      </c>
      <c r="H194" s="3">
        <f t="shared" ca="1" si="25"/>
        <v>134</v>
      </c>
      <c r="I194" s="1" t="s">
        <v>38</v>
      </c>
      <c r="J194" s="3">
        <f t="shared" ca="1" si="26"/>
        <v>216243</v>
      </c>
      <c r="K194" s="3">
        <f t="shared" ca="1" si="27"/>
        <v>182</v>
      </c>
      <c r="L194" s="3">
        <f t="shared" ca="1" si="28"/>
        <v>5</v>
      </c>
      <c r="M194" s="4"/>
      <c r="N194" s="5">
        <f t="shared" si="29"/>
        <v>1</v>
      </c>
      <c r="O194" s="1">
        <f t="shared" ca="1" si="30"/>
        <v>0</v>
      </c>
      <c r="P194" s="1">
        <f t="shared" ca="1" si="30"/>
        <v>0</v>
      </c>
      <c r="Q194" s="1">
        <f t="shared" ca="1" si="30"/>
        <v>1</v>
      </c>
    </row>
    <row r="195" spans="1:17" x14ac:dyDescent="0.3">
      <c r="A195" s="1" t="s">
        <v>232</v>
      </c>
      <c r="B195" s="1" t="s">
        <v>240</v>
      </c>
      <c r="C195" s="1" t="s">
        <v>54</v>
      </c>
      <c r="D195" s="3">
        <f t="shared" ref="D195:D201" ca="1" si="31">RANDBETWEEN(9000001,100000000)</f>
        <v>69110675</v>
      </c>
      <c r="E195" s="3">
        <f t="shared" ref="E195:E201" ca="1" si="32">RANDBETWEEN(10,9000000)</f>
        <v>8281174</v>
      </c>
      <c r="F195" s="3">
        <f t="shared" ref="F195:F201" ca="1" si="33">RANDBETWEEN(1,500)</f>
        <v>261</v>
      </c>
      <c r="G195" s="3">
        <f t="shared" ref="G195:G201" ca="1" si="34">RANDBETWEEN(10,10000000)</f>
        <v>9365293</v>
      </c>
      <c r="H195" s="3">
        <f t="shared" ref="H195:H201" ca="1" si="35">RANDBETWEEN(1,500)</f>
        <v>38</v>
      </c>
      <c r="I195" s="1" t="s">
        <v>41</v>
      </c>
      <c r="J195" s="3">
        <f t="shared" ref="J195:J201" ca="1" si="36">RANDBETWEEN(10000,600000)</f>
        <v>41015</v>
      </c>
      <c r="K195" s="3">
        <f t="shared" ref="K195:K201" ca="1" si="37">RANDBETWEEN(0,550)</f>
        <v>379</v>
      </c>
      <c r="L195" s="3">
        <f t="shared" ref="L195:L201" ca="1" si="38">RANDBETWEEN(0,130)</f>
        <v>85</v>
      </c>
      <c r="M195" s="4"/>
      <c r="N195" s="5">
        <f t="shared" ref="N195:N201" si="39">1-M195</f>
        <v>1</v>
      </c>
      <c r="O195" s="1">
        <f t="shared" ref="O195:Q201" ca="1" si="40">RANDBETWEEN(0,1)</f>
        <v>0</v>
      </c>
      <c r="P195" s="1">
        <f t="shared" ca="1" si="40"/>
        <v>1</v>
      </c>
      <c r="Q195" s="1">
        <f t="shared" ca="1" si="40"/>
        <v>1</v>
      </c>
    </row>
    <row r="196" spans="1:17" x14ac:dyDescent="0.3">
      <c r="A196" s="1" t="s">
        <v>233</v>
      </c>
      <c r="B196" s="1" t="s">
        <v>240</v>
      </c>
      <c r="C196" s="1" t="s">
        <v>20</v>
      </c>
      <c r="D196" s="3">
        <f t="shared" ca="1" si="31"/>
        <v>12980051</v>
      </c>
      <c r="E196" s="3">
        <f t="shared" ca="1" si="32"/>
        <v>5200470</v>
      </c>
      <c r="F196" s="3">
        <f t="shared" ca="1" si="33"/>
        <v>90</v>
      </c>
      <c r="G196" s="3">
        <f t="shared" ca="1" si="34"/>
        <v>334469</v>
      </c>
      <c r="H196" s="3">
        <f t="shared" ca="1" si="35"/>
        <v>488</v>
      </c>
      <c r="I196" s="1" t="s">
        <v>47</v>
      </c>
      <c r="J196" s="3">
        <f t="shared" ca="1" si="36"/>
        <v>261582</v>
      </c>
      <c r="K196" s="3">
        <f t="shared" ca="1" si="37"/>
        <v>305</v>
      </c>
      <c r="L196" s="3">
        <f t="shared" ca="1" si="38"/>
        <v>111</v>
      </c>
      <c r="M196" s="4"/>
      <c r="N196" s="5">
        <f t="shared" si="39"/>
        <v>1</v>
      </c>
      <c r="O196" s="1">
        <f t="shared" ca="1" si="40"/>
        <v>1</v>
      </c>
      <c r="P196" s="1">
        <f t="shared" ca="1" si="40"/>
        <v>1</v>
      </c>
      <c r="Q196" s="1">
        <f t="shared" ca="1" si="40"/>
        <v>0</v>
      </c>
    </row>
    <row r="197" spans="1:17" x14ac:dyDescent="0.3">
      <c r="A197" s="1" t="s">
        <v>234</v>
      </c>
      <c r="B197" s="1" t="s">
        <v>240</v>
      </c>
      <c r="C197" s="1" t="s">
        <v>20</v>
      </c>
      <c r="D197" s="3">
        <f t="shared" ca="1" si="31"/>
        <v>12024974</v>
      </c>
      <c r="E197" s="3">
        <f t="shared" ca="1" si="32"/>
        <v>3846221</v>
      </c>
      <c r="F197" s="3">
        <f t="shared" ca="1" si="33"/>
        <v>333</v>
      </c>
      <c r="G197" s="3">
        <f t="shared" ca="1" si="34"/>
        <v>3762544</v>
      </c>
      <c r="H197" s="3">
        <f t="shared" ca="1" si="35"/>
        <v>112</v>
      </c>
      <c r="I197" s="1" t="s">
        <v>47</v>
      </c>
      <c r="J197" s="3">
        <f t="shared" ca="1" si="36"/>
        <v>388618</v>
      </c>
      <c r="K197" s="3">
        <f t="shared" ca="1" si="37"/>
        <v>522</v>
      </c>
      <c r="L197" s="3">
        <f t="shared" ca="1" si="38"/>
        <v>100</v>
      </c>
      <c r="M197" s="4"/>
      <c r="N197" s="5">
        <f t="shared" si="39"/>
        <v>1</v>
      </c>
      <c r="O197" s="1">
        <f t="shared" ca="1" si="40"/>
        <v>1</v>
      </c>
      <c r="P197" s="1">
        <f t="shared" ca="1" si="40"/>
        <v>1</v>
      </c>
      <c r="Q197" s="1">
        <f t="shared" ca="1" si="40"/>
        <v>1</v>
      </c>
    </row>
    <row r="198" spans="1:17" x14ac:dyDescent="0.3">
      <c r="A198" s="1" t="s">
        <v>235</v>
      </c>
      <c r="B198" s="1" t="s">
        <v>240</v>
      </c>
      <c r="C198" s="1" t="s">
        <v>20</v>
      </c>
      <c r="D198" s="3">
        <f t="shared" ca="1" si="31"/>
        <v>42404728</v>
      </c>
      <c r="E198" s="3">
        <f t="shared" ca="1" si="32"/>
        <v>6217768</v>
      </c>
      <c r="F198" s="3">
        <f t="shared" ca="1" si="33"/>
        <v>477</v>
      </c>
      <c r="G198" s="3">
        <f t="shared" ca="1" si="34"/>
        <v>7746798</v>
      </c>
      <c r="H198" s="3">
        <f t="shared" ca="1" si="35"/>
        <v>17</v>
      </c>
      <c r="I198" s="1" t="s">
        <v>18</v>
      </c>
      <c r="J198" s="3">
        <f t="shared" ca="1" si="36"/>
        <v>524080</v>
      </c>
      <c r="K198" s="3">
        <f t="shared" ca="1" si="37"/>
        <v>272</v>
      </c>
      <c r="L198" s="3">
        <f t="shared" ca="1" si="38"/>
        <v>85</v>
      </c>
      <c r="M198" s="4"/>
      <c r="N198" s="5">
        <f t="shared" si="39"/>
        <v>1</v>
      </c>
      <c r="O198" s="1">
        <f t="shared" ca="1" si="40"/>
        <v>1</v>
      </c>
      <c r="P198" s="1">
        <f t="shared" ca="1" si="40"/>
        <v>1</v>
      </c>
      <c r="Q198" s="1">
        <f t="shared" ca="1" si="40"/>
        <v>1</v>
      </c>
    </row>
    <row r="199" spans="1:17" x14ac:dyDescent="0.3">
      <c r="A199" s="1" t="s">
        <v>236</v>
      </c>
      <c r="B199" s="1" t="s">
        <v>240</v>
      </c>
      <c r="C199" s="1" t="s">
        <v>60</v>
      </c>
      <c r="D199" s="3">
        <f t="shared" ca="1" si="31"/>
        <v>12556944</v>
      </c>
      <c r="E199" s="3">
        <f t="shared" ca="1" si="32"/>
        <v>4075979</v>
      </c>
      <c r="F199" s="3">
        <f t="shared" ca="1" si="33"/>
        <v>325</v>
      </c>
      <c r="G199" s="3">
        <f t="shared" ca="1" si="34"/>
        <v>8532208</v>
      </c>
      <c r="H199" s="3">
        <f t="shared" ca="1" si="35"/>
        <v>330</v>
      </c>
      <c r="I199" s="1" t="s">
        <v>21</v>
      </c>
      <c r="J199" s="3">
        <f t="shared" ca="1" si="36"/>
        <v>363842</v>
      </c>
      <c r="K199" s="3">
        <f t="shared" ca="1" si="37"/>
        <v>32</v>
      </c>
      <c r="L199" s="3">
        <f t="shared" ca="1" si="38"/>
        <v>36</v>
      </c>
      <c r="M199" s="4"/>
      <c r="N199" s="5">
        <f t="shared" si="39"/>
        <v>1</v>
      </c>
      <c r="O199" s="1">
        <f t="shared" ca="1" si="40"/>
        <v>1</v>
      </c>
      <c r="P199" s="1">
        <f t="shared" ca="1" si="40"/>
        <v>0</v>
      </c>
      <c r="Q199" s="1">
        <f t="shared" ca="1" si="40"/>
        <v>1</v>
      </c>
    </row>
    <row r="200" spans="1:17" x14ac:dyDescent="0.3">
      <c r="A200" s="1" t="s">
        <v>237</v>
      </c>
      <c r="B200" s="1" t="s">
        <v>240</v>
      </c>
      <c r="C200" s="1" t="s">
        <v>17</v>
      </c>
      <c r="D200" s="3">
        <f t="shared" ca="1" si="31"/>
        <v>73122824</v>
      </c>
      <c r="E200" s="3">
        <f t="shared" ca="1" si="32"/>
        <v>130146</v>
      </c>
      <c r="F200" s="3">
        <f t="shared" ca="1" si="33"/>
        <v>37</v>
      </c>
      <c r="G200" s="3">
        <f t="shared" ca="1" si="34"/>
        <v>9422050</v>
      </c>
      <c r="H200" s="3">
        <f t="shared" ca="1" si="35"/>
        <v>134</v>
      </c>
      <c r="I200" s="1" t="s">
        <v>21</v>
      </c>
      <c r="J200" s="3">
        <f t="shared" ca="1" si="36"/>
        <v>227603</v>
      </c>
      <c r="K200" s="3">
        <f t="shared" ca="1" si="37"/>
        <v>290</v>
      </c>
      <c r="L200" s="3">
        <f t="shared" ca="1" si="38"/>
        <v>112</v>
      </c>
      <c r="M200" s="4"/>
      <c r="N200" s="5">
        <f t="shared" si="39"/>
        <v>1</v>
      </c>
      <c r="O200" s="1">
        <f t="shared" ca="1" si="40"/>
        <v>0</v>
      </c>
      <c r="P200" s="1">
        <f t="shared" ca="1" si="40"/>
        <v>1</v>
      </c>
      <c r="Q200" s="1">
        <f t="shared" ca="1" si="40"/>
        <v>1</v>
      </c>
    </row>
    <row r="201" spans="1:17" x14ac:dyDescent="0.3">
      <c r="A201" s="1" t="s">
        <v>238</v>
      </c>
      <c r="B201" s="1" t="s">
        <v>240</v>
      </c>
      <c r="C201" s="1" t="s">
        <v>20</v>
      </c>
      <c r="D201" s="3">
        <f t="shared" ca="1" si="31"/>
        <v>23810519</v>
      </c>
      <c r="E201" s="3">
        <f t="shared" ca="1" si="32"/>
        <v>3984318</v>
      </c>
      <c r="F201" s="3">
        <f t="shared" ca="1" si="33"/>
        <v>263</v>
      </c>
      <c r="G201" s="3">
        <f t="shared" ca="1" si="34"/>
        <v>4745531</v>
      </c>
      <c r="H201" s="3">
        <f t="shared" ca="1" si="35"/>
        <v>236</v>
      </c>
      <c r="I201" s="1" t="s">
        <v>18</v>
      </c>
      <c r="J201" s="3">
        <f t="shared" ca="1" si="36"/>
        <v>92307</v>
      </c>
      <c r="K201" s="3">
        <f t="shared" ca="1" si="37"/>
        <v>158</v>
      </c>
      <c r="L201" s="3">
        <f t="shared" ca="1" si="38"/>
        <v>113</v>
      </c>
      <c r="M201" s="4"/>
      <c r="N201" s="5">
        <f t="shared" si="39"/>
        <v>1</v>
      </c>
      <c r="O201" s="1">
        <f t="shared" ca="1" si="40"/>
        <v>1</v>
      </c>
      <c r="P201" s="1">
        <f t="shared" ca="1" si="40"/>
        <v>0</v>
      </c>
      <c r="Q201" s="1">
        <f t="shared" ca="1" si="4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Manzi</dc:creator>
  <cp:lastModifiedBy>Andrea Manzi</cp:lastModifiedBy>
  <dcterms:created xsi:type="dcterms:W3CDTF">2025-11-05T15:07:02Z</dcterms:created>
  <dcterms:modified xsi:type="dcterms:W3CDTF">2025-11-05T16:43:16Z</dcterms:modified>
</cp:coreProperties>
</file>